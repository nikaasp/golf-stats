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olaiAasprong\golf-stats\"/>
    </mc:Choice>
  </mc:AlternateContent>
  <xr:revisionPtr revIDLastSave="0" documentId="13_ncr:1_{B9AD5015-85AB-4ABB-84FE-C0E1EEF802CA}" xr6:coauthVersionLast="47" xr6:coauthVersionMax="47" xr10:uidLastSave="{00000000-0000-0000-0000-000000000000}"/>
  <bookViews>
    <workbookView xWindow="-120" yWindow="-120" windowWidth="29040" windowHeight="15720" activeTab="1" xr2:uid="{B64AB023-654D-4F45-8500-8FC89343C9DD}"/>
  </bookViews>
  <sheets>
    <sheet name="source" sheetId="1" r:id="rId1"/>
    <sheet name="metric" sheetId="2" r:id="rId2"/>
    <sheet name="SG_baselin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2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20" i="2"/>
  <c r="O3" i="2"/>
  <c r="P3" i="2"/>
  <c r="Q3" i="2"/>
  <c r="R3" i="2"/>
  <c r="S3" i="2"/>
  <c r="O4" i="2"/>
  <c r="P4" i="2"/>
  <c r="Q4" i="2"/>
  <c r="R4" i="2"/>
  <c r="S4" i="2"/>
  <c r="O5" i="2"/>
  <c r="P5" i="2"/>
  <c r="Q5" i="2"/>
  <c r="R5" i="2"/>
  <c r="S5" i="2"/>
  <c r="O6" i="2"/>
  <c r="P6" i="2"/>
  <c r="Q6" i="2"/>
  <c r="R6" i="2"/>
  <c r="S6" i="2"/>
  <c r="O7" i="2"/>
  <c r="P7" i="2"/>
  <c r="Q7" i="2"/>
  <c r="R7" i="2"/>
  <c r="S7" i="2"/>
  <c r="P2" i="2"/>
  <c r="Q2" i="2"/>
  <c r="R2" i="2"/>
  <c r="S2" i="2"/>
  <c r="O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2" i="2"/>
  <c r="C2" i="2"/>
  <c r="D2" i="2"/>
  <c r="E2" i="2"/>
  <c r="F2" i="2"/>
  <c r="C3" i="2"/>
  <c r="D3" i="2"/>
  <c r="E3" i="2"/>
  <c r="F3" i="2"/>
  <c r="C4" i="2"/>
  <c r="D4" i="2"/>
  <c r="E4" i="2"/>
  <c r="F4" i="2"/>
  <c r="C5" i="2"/>
  <c r="D5" i="2"/>
  <c r="E5" i="2"/>
  <c r="F5" i="2"/>
  <c r="C6" i="2"/>
  <c r="D6" i="2"/>
  <c r="E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C12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20" i="2"/>
  <c r="D20" i="2"/>
  <c r="E20" i="2"/>
  <c r="F20" i="2"/>
  <c r="C21" i="2"/>
  <c r="D21" i="2"/>
  <c r="E21" i="2"/>
  <c r="F21" i="2"/>
  <c r="C22" i="2"/>
  <c r="D22" i="2"/>
  <c r="E22" i="2"/>
  <c r="F22" i="2"/>
  <c r="C23" i="2"/>
  <c r="D23" i="2"/>
  <c r="E23" i="2"/>
  <c r="F23" i="2"/>
  <c r="C24" i="2"/>
  <c r="D24" i="2"/>
  <c r="E24" i="2"/>
  <c r="F24" i="2"/>
  <c r="C25" i="2"/>
  <c r="D25" i="2"/>
  <c r="E25" i="2"/>
  <c r="F25" i="2"/>
  <c r="C26" i="2"/>
  <c r="D26" i="2"/>
  <c r="E26" i="2"/>
  <c r="F26" i="2"/>
  <c r="C27" i="2"/>
  <c r="D27" i="2"/>
  <c r="E27" i="2"/>
  <c r="F27" i="2"/>
  <c r="C28" i="2"/>
  <c r="D28" i="2"/>
  <c r="E28" i="2"/>
  <c r="F28" i="2"/>
  <c r="C29" i="2"/>
  <c r="D29" i="2"/>
  <c r="E29" i="2"/>
  <c r="F29" i="2"/>
  <c r="C30" i="2"/>
  <c r="D30" i="2"/>
  <c r="E30" i="2"/>
  <c r="F30" i="2"/>
  <c r="C31" i="2"/>
  <c r="D31" i="2"/>
  <c r="E31" i="2"/>
  <c r="F31" i="2"/>
  <c r="C32" i="2"/>
  <c r="D32" i="2"/>
  <c r="E32" i="2"/>
  <c r="F32" i="2"/>
  <c r="C33" i="2"/>
  <c r="D33" i="2"/>
  <c r="E33" i="2"/>
  <c r="F33" i="2"/>
  <c r="C34" i="2"/>
  <c r="D34" i="2"/>
  <c r="E34" i="2"/>
  <c r="F34" i="2"/>
  <c r="C35" i="2"/>
  <c r="D35" i="2"/>
  <c r="E35" i="2"/>
  <c r="F35" i="2"/>
  <c r="C36" i="2"/>
  <c r="D36" i="2"/>
  <c r="E36" i="2"/>
  <c r="F36" i="2"/>
  <c r="C37" i="2"/>
  <c r="D37" i="2"/>
  <c r="E37" i="2"/>
  <c r="F37" i="2"/>
  <c r="C38" i="2"/>
  <c r="D38" i="2"/>
  <c r="E38" i="2"/>
  <c r="F38" i="2"/>
  <c r="C39" i="2"/>
  <c r="D39" i="2"/>
  <c r="E39" i="2"/>
  <c r="F39" i="2"/>
  <c r="C40" i="2"/>
  <c r="D40" i="2"/>
  <c r="E40" i="2"/>
  <c r="F40" i="2"/>
  <c r="C41" i="2"/>
  <c r="D41" i="2"/>
  <c r="E41" i="2"/>
  <c r="F41" i="2"/>
  <c r="C42" i="2"/>
  <c r="D42" i="2"/>
  <c r="E42" i="2"/>
  <c r="F42" i="2"/>
  <c r="C43" i="2"/>
  <c r="D43" i="2"/>
  <c r="E43" i="2"/>
  <c r="F43" i="2"/>
  <c r="C44" i="2"/>
  <c r="D44" i="2"/>
  <c r="E44" i="2"/>
  <c r="F44" i="2"/>
  <c r="C45" i="2"/>
  <c r="D45" i="2"/>
  <c r="E45" i="2"/>
  <c r="F45" i="2"/>
  <c r="C46" i="2"/>
  <c r="D46" i="2"/>
  <c r="E46" i="2"/>
  <c r="F46" i="2"/>
  <c r="C47" i="2"/>
  <c r="D47" i="2"/>
  <c r="E47" i="2"/>
  <c r="F47" i="2"/>
  <c r="C48" i="2"/>
  <c r="D48" i="2"/>
  <c r="E48" i="2"/>
  <c r="F48" i="2"/>
  <c r="C49" i="2"/>
  <c r="D49" i="2"/>
  <c r="E49" i="2"/>
  <c r="F49" i="2"/>
  <c r="C50" i="2"/>
  <c r="D50" i="2"/>
  <c r="E50" i="2"/>
  <c r="F50" i="2"/>
  <c r="C51" i="2"/>
  <c r="D51" i="2"/>
  <c r="E51" i="2"/>
  <c r="F51" i="2"/>
  <c r="C52" i="2"/>
  <c r="D52" i="2"/>
  <c r="E52" i="2"/>
  <c r="F52" i="2"/>
  <c r="C53" i="2"/>
  <c r="D53" i="2"/>
  <c r="E53" i="2"/>
  <c r="F53" i="2"/>
  <c r="C54" i="2"/>
  <c r="D54" i="2"/>
  <c r="E54" i="2"/>
  <c r="F54" i="2"/>
  <c r="C55" i="2"/>
  <c r="D55" i="2"/>
  <c r="E55" i="2"/>
  <c r="F55" i="2"/>
  <c r="C56" i="2"/>
  <c r="D56" i="2"/>
  <c r="E56" i="2"/>
  <c r="F56" i="2"/>
  <c r="C57" i="2"/>
  <c r="D57" i="2"/>
  <c r="E57" i="2"/>
  <c r="F57" i="2"/>
  <c r="C58" i="2"/>
  <c r="D58" i="2"/>
  <c r="E58" i="2"/>
  <c r="F58" i="2"/>
  <c r="C59" i="2"/>
  <c r="D59" i="2"/>
  <c r="E59" i="2"/>
  <c r="F59" i="2"/>
  <c r="C60" i="2"/>
  <c r="D60" i="2"/>
  <c r="E60" i="2"/>
  <c r="F60" i="2"/>
  <c r="C61" i="2"/>
  <c r="D61" i="2"/>
  <c r="E61" i="2"/>
  <c r="F61" i="2"/>
  <c r="C62" i="2"/>
  <c r="D62" i="2"/>
  <c r="E62" i="2"/>
  <c r="F62" i="2"/>
  <c r="C63" i="2"/>
  <c r="D63" i="2"/>
  <c r="E63" i="2"/>
  <c r="F63" i="2"/>
  <c r="C64" i="2"/>
  <c r="D64" i="2"/>
  <c r="E64" i="2"/>
  <c r="F64" i="2"/>
  <c r="C65" i="2"/>
  <c r="D65" i="2"/>
  <c r="E65" i="2"/>
  <c r="F65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2" i="2"/>
  <c r="Q1" i="2"/>
  <c r="R1" i="2"/>
  <c r="S1" i="2"/>
  <c r="P1" i="2"/>
  <c r="F1" i="2"/>
  <c r="I1" i="2"/>
  <c r="J1" i="2"/>
  <c r="B1" i="2"/>
  <c r="C1" i="2"/>
  <c r="D1" i="2"/>
  <c r="E1" i="2"/>
  <c r="A1" i="2"/>
</calcChain>
</file>

<file path=xl/sharedStrings.xml><?xml version="1.0" encoding="utf-8"?>
<sst xmlns="http://schemas.openxmlformats.org/spreadsheetml/2006/main" count="25" uniqueCount="20">
  <si>
    <t>DISTANCE</t>
  </si>
  <si>
    <t>TEE</t>
  </si>
  <si>
    <t>FAIRWAY</t>
  </si>
  <si>
    <t>ROUGH</t>
  </si>
  <si>
    <t>SAND</t>
  </si>
  <si>
    <t>RECOVERY</t>
  </si>
  <si>
    <t>GREEN</t>
  </si>
  <si>
    <t>APPROACH</t>
  </si>
  <si>
    <t>SHORT</t>
  </si>
  <si>
    <t>PUTT</t>
  </si>
  <si>
    <t>scratch</t>
  </si>
  <si>
    <t>feet per meter</t>
  </si>
  <si>
    <t>yeards per meter</t>
  </si>
  <si>
    <t>AVG APPROACH</t>
  </si>
  <si>
    <t>AVG SHORT GAME</t>
  </si>
  <si>
    <t>Expected shots</t>
  </si>
  <si>
    <t>Tee shot distance [m]</t>
  </si>
  <si>
    <t>Approach shot distance [m]</t>
  </si>
  <si>
    <t>Short game distance [m]</t>
  </si>
  <si>
    <t>Putting distance [m]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</si>
</sst>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0000"/>
    <numFmt numFmtId="168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Oswald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</fills>
  <borders count="12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0" fontId="2" fillId="0" borderId="5" xfId="0" applyFont="1" applyBorder="1" applyAlignment="1">
      <alignment horizontal="right" wrapText="1"/>
    </xf>
    <xf numFmtId="0" fontId="2" fillId="0" borderId="3" xfId="0" applyFont="1" applyBorder="1" applyAlignment="1">
      <alignment horizontal="right" wrapText="1"/>
    </xf>
    <xf numFmtId="167" fontId="0" fillId="0" borderId="0" xfId="0" applyNumberFormat="1"/>
    <xf numFmtId="168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0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B295-9032-4582-AA0C-70842CA5F81C}">
  <dimension ref="A1:S65"/>
  <sheetViews>
    <sheetView workbookViewId="0">
      <selection activeCell="G19" sqref="G19"/>
    </sheetView>
  </sheetViews>
  <sheetFormatPr defaultRowHeight="15" x14ac:dyDescent="0.25"/>
  <sheetData>
    <row r="1" spans="1:19" ht="18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I1" s="8" t="s">
        <v>0</v>
      </c>
      <c r="J1" s="2" t="s">
        <v>6</v>
      </c>
      <c r="K1" s="6"/>
      <c r="L1" s="6"/>
      <c r="O1" s="9"/>
      <c r="P1" s="5" t="s">
        <v>1</v>
      </c>
      <c r="Q1" s="5" t="s">
        <v>7</v>
      </c>
      <c r="R1" s="5" t="s">
        <v>8</v>
      </c>
      <c r="S1" s="5" t="s">
        <v>9</v>
      </c>
    </row>
    <row r="2" spans="1:19" ht="18.75" thickBot="1" x14ac:dyDescent="0.5">
      <c r="A2" s="4">
        <v>10</v>
      </c>
      <c r="B2" s="3"/>
      <c r="C2" s="4">
        <v>2.2000000000000002</v>
      </c>
      <c r="D2" s="4">
        <v>2.4900000000000002</v>
      </c>
      <c r="E2" s="4">
        <v>2.41</v>
      </c>
      <c r="F2" s="3"/>
      <c r="I2" s="10">
        <v>1</v>
      </c>
      <c r="J2" s="11">
        <v>1</v>
      </c>
      <c r="K2" s="6"/>
      <c r="L2" s="6"/>
      <c r="O2" s="5" t="s">
        <v>10</v>
      </c>
      <c r="P2" s="5">
        <v>1.78</v>
      </c>
      <c r="Q2" s="5">
        <v>2.0299999999999998</v>
      </c>
      <c r="R2" s="5">
        <v>0.39</v>
      </c>
      <c r="S2" s="5">
        <v>0.94</v>
      </c>
    </row>
    <row r="3" spans="1:19" ht="18.75" thickBot="1" x14ac:dyDescent="0.3">
      <c r="A3" s="4">
        <v>15</v>
      </c>
      <c r="B3" s="3"/>
      <c r="C3" s="4">
        <v>2.2999999999999998</v>
      </c>
      <c r="D3" s="4">
        <v>2.54</v>
      </c>
      <c r="E3" s="4">
        <v>2.4700000000000002</v>
      </c>
      <c r="F3" s="3"/>
      <c r="I3" s="4">
        <v>3</v>
      </c>
      <c r="J3" s="4">
        <v>1.04</v>
      </c>
      <c r="K3" s="6"/>
      <c r="L3" s="6"/>
      <c r="O3" s="5">
        <v>5</v>
      </c>
      <c r="P3" s="5">
        <v>3.31</v>
      </c>
      <c r="Q3" s="5">
        <v>4.29</v>
      </c>
      <c r="R3" s="5">
        <v>0.97</v>
      </c>
      <c r="S3" s="5">
        <v>1.42</v>
      </c>
    </row>
    <row r="4" spans="1:19" ht="18.75" thickBot="1" x14ac:dyDescent="0.3">
      <c r="A4" s="4">
        <v>20</v>
      </c>
      <c r="B4" s="3"/>
      <c r="C4" s="4">
        <v>2.4</v>
      </c>
      <c r="D4" s="4">
        <v>2.59</v>
      </c>
      <c r="E4" s="4">
        <v>2.5299999999999998</v>
      </c>
      <c r="F4" s="3"/>
      <c r="I4" s="5">
        <v>4</v>
      </c>
      <c r="J4" s="5">
        <v>1.1299999999999999</v>
      </c>
      <c r="O4" s="5">
        <v>10</v>
      </c>
      <c r="P4" s="5">
        <v>3.61</v>
      </c>
      <c r="Q4" s="5">
        <v>6.11</v>
      </c>
      <c r="R4" s="5">
        <v>1.33</v>
      </c>
      <c r="S4" s="5">
        <v>2.77</v>
      </c>
    </row>
    <row r="5" spans="1:19" ht="18.75" thickBot="1" x14ac:dyDescent="0.3">
      <c r="A5" s="5">
        <v>25</v>
      </c>
      <c r="B5" s="6"/>
      <c r="C5" s="4">
        <v>2.4500000000000002</v>
      </c>
      <c r="D5" s="5">
        <v>2.64</v>
      </c>
      <c r="E5" s="5">
        <v>2.59</v>
      </c>
      <c r="F5" s="6"/>
      <c r="I5" s="4">
        <v>5</v>
      </c>
      <c r="J5" s="4">
        <v>1.23</v>
      </c>
      <c r="K5" s="3"/>
      <c r="L5" s="3"/>
      <c r="O5" s="5">
        <v>15</v>
      </c>
      <c r="P5" s="5">
        <v>4.8600000000000003</v>
      </c>
      <c r="Q5" s="5">
        <v>8.5399999999999991</v>
      </c>
      <c r="R5" s="5">
        <v>4.46</v>
      </c>
      <c r="S5" s="5">
        <v>4.46</v>
      </c>
    </row>
    <row r="6" spans="1:19" ht="18.75" thickBot="1" x14ac:dyDescent="0.3">
      <c r="A6" s="5">
        <v>30</v>
      </c>
      <c r="B6" s="6"/>
      <c r="C6" s="4">
        <v>2.5</v>
      </c>
      <c r="D6" s="5">
        <v>2.69</v>
      </c>
      <c r="E6" s="5">
        <v>2.67</v>
      </c>
      <c r="F6" s="6"/>
      <c r="I6" s="5">
        <v>6</v>
      </c>
      <c r="J6" s="5">
        <v>1.34</v>
      </c>
      <c r="K6" s="3"/>
      <c r="L6" s="3"/>
      <c r="O6" s="5">
        <v>20</v>
      </c>
      <c r="P6" s="5">
        <v>5.75</v>
      </c>
      <c r="Q6" s="5">
        <v>11.26</v>
      </c>
      <c r="R6" s="5">
        <v>4.4800000000000004</v>
      </c>
      <c r="S6" s="5">
        <v>4.4800000000000004</v>
      </c>
    </row>
    <row r="7" spans="1:19" ht="18.75" thickBot="1" x14ac:dyDescent="0.3">
      <c r="A7" s="5">
        <v>35</v>
      </c>
      <c r="B7" s="6"/>
      <c r="C7" s="4">
        <v>2.5499999999999998</v>
      </c>
      <c r="D7" s="5">
        <v>2.74</v>
      </c>
      <c r="E7" s="5">
        <v>2.76</v>
      </c>
      <c r="F7" s="6"/>
      <c r="I7" s="4">
        <v>7</v>
      </c>
      <c r="J7" s="4">
        <v>1.42</v>
      </c>
      <c r="K7" s="3"/>
      <c r="L7" s="3"/>
      <c r="O7" s="5">
        <v>25</v>
      </c>
      <c r="P7" s="5">
        <v>7.53</v>
      </c>
      <c r="Q7" s="5">
        <v>14.23</v>
      </c>
      <c r="R7" s="5">
        <v>4.71</v>
      </c>
      <c r="S7" s="5">
        <v>4.71</v>
      </c>
    </row>
    <row r="8" spans="1:19" ht="18.75" thickBot="1" x14ac:dyDescent="0.3">
      <c r="A8" s="5">
        <v>40</v>
      </c>
      <c r="B8" s="6"/>
      <c r="C8" s="5">
        <v>2.6</v>
      </c>
      <c r="D8" s="5">
        <v>2.78</v>
      </c>
      <c r="E8" s="5">
        <v>2.82</v>
      </c>
      <c r="F8" s="6"/>
      <c r="I8" s="5">
        <v>8</v>
      </c>
      <c r="J8" s="5">
        <v>1.5</v>
      </c>
    </row>
    <row r="9" spans="1:19" ht="18.75" thickBot="1" x14ac:dyDescent="0.3">
      <c r="A9" s="4">
        <v>45</v>
      </c>
      <c r="B9" s="3"/>
      <c r="C9" s="4">
        <v>2.62</v>
      </c>
      <c r="D9" s="4">
        <v>2.82</v>
      </c>
      <c r="E9" s="4">
        <v>2.9</v>
      </c>
      <c r="F9" s="3"/>
      <c r="I9" s="4">
        <v>9</v>
      </c>
      <c r="J9" s="4">
        <v>1.56</v>
      </c>
      <c r="K9" s="6"/>
      <c r="L9" s="6"/>
    </row>
    <row r="10" spans="1:19" ht="18.75" thickBot="1" x14ac:dyDescent="0.3">
      <c r="A10" s="4">
        <v>50</v>
      </c>
      <c r="B10" s="3"/>
      <c r="C10" s="4">
        <v>2.65</v>
      </c>
      <c r="D10" s="4">
        <v>2.85</v>
      </c>
      <c r="E10" s="4">
        <v>2.98</v>
      </c>
      <c r="F10" s="3"/>
      <c r="I10" s="5">
        <v>10</v>
      </c>
      <c r="J10" s="5">
        <v>1.61</v>
      </c>
      <c r="K10" s="6"/>
      <c r="L10" s="6"/>
    </row>
    <row r="11" spans="1:19" ht="18.75" thickBot="1" x14ac:dyDescent="0.3">
      <c r="A11" s="4">
        <v>55</v>
      </c>
      <c r="B11" s="3"/>
      <c r="C11" s="4">
        <v>2.67</v>
      </c>
      <c r="D11" s="4">
        <v>2.88</v>
      </c>
      <c r="E11" s="4">
        <v>3.07</v>
      </c>
      <c r="F11" s="3"/>
      <c r="I11" s="4">
        <v>15</v>
      </c>
      <c r="J11" s="4">
        <v>1.78</v>
      </c>
      <c r="K11" s="6"/>
      <c r="L11" s="6"/>
    </row>
    <row r="12" spans="1:19" ht="18.75" thickBot="1" x14ac:dyDescent="0.3">
      <c r="A12" s="4">
        <v>60</v>
      </c>
      <c r="B12" s="3"/>
      <c r="C12" s="4">
        <v>2.7</v>
      </c>
      <c r="D12" s="4">
        <v>2.91</v>
      </c>
      <c r="E12" s="4">
        <v>3.15</v>
      </c>
      <c r="F12" s="3"/>
      <c r="I12" s="5">
        <v>20</v>
      </c>
      <c r="J12" s="5">
        <v>1.87</v>
      </c>
    </row>
    <row r="13" spans="1:19" ht="18.75" thickBot="1" x14ac:dyDescent="0.3">
      <c r="A13" s="5">
        <v>65</v>
      </c>
      <c r="B13" s="6"/>
      <c r="C13" s="5">
        <v>2.72</v>
      </c>
      <c r="D13" s="5">
        <v>2.92</v>
      </c>
      <c r="E13" s="5">
        <v>3.17</v>
      </c>
      <c r="F13" s="6"/>
      <c r="I13" s="4">
        <v>30</v>
      </c>
      <c r="J13" s="4">
        <v>1.98</v>
      </c>
      <c r="K13" s="3"/>
      <c r="L13" s="3"/>
    </row>
    <row r="14" spans="1:19" ht="18.75" thickBot="1" x14ac:dyDescent="0.3">
      <c r="A14" s="5">
        <v>70</v>
      </c>
      <c r="B14" s="6"/>
      <c r="C14" s="5">
        <v>2.73</v>
      </c>
      <c r="D14" s="5">
        <v>2.93</v>
      </c>
      <c r="E14" s="5">
        <v>3.19</v>
      </c>
      <c r="F14" s="6"/>
      <c r="I14" s="5">
        <v>40</v>
      </c>
      <c r="J14" s="5">
        <v>2.06</v>
      </c>
      <c r="K14" s="3"/>
      <c r="L14" s="3"/>
    </row>
    <row r="15" spans="1:19" ht="18.75" thickBot="1" x14ac:dyDescent="0.3">
      <c r="A15" s="5">
        <v>75</v>
      </c>
      <c r="B15" s="6"/>
      <c r="C15" s="5">
        <v>2.74</v>
      </c>
      <c r="D15" s="5">
        <v>2.95</v>
      </c>
      <c r="E15" s="5">
        <v>3.22</v>
      </c>
      <c r="F15" s="6"/>
      <c r="I15" s="4">
        <v>50</v>
      </c>
      <c r="J15" s="4">
        <v>2.14</v>
      </c>
      <c r="K15" s="3"/>
      <c r="L15" s="3"/>
    </row>
    <row r="16" spans="1:19" ht="18.75" thickBot="1" x14ac:dyDescent="0.3">
      <c r="A16" s="5">
        <v>80</v>
      </c>
      <c r="B16" s="6"/>
      <c r="C16" s="5">
        <v>2.75</v>
      </c>
      <c r="D16" s="5">
        <v>2.96</v>
      </c>
      <c r="E16" s="5">
        <v>3.24</v>
      </c>
      <c r="F16" s="7"/>
      <c r="I16" s="5">
        <v>60</v>
      </c>
      <c r="J16" s="5">
        <v>2.21</v>
      </c>
    </row>
    <row r="17" spans="1:12" ht="18.75" thickBot="1" x14ac:dyDescent="0.3">
      <c r="A17" s="4">
        <v>85</v>
      </c>
      <c r="B17" s="3"/>
      <c r="C17" s="4">
        <v>2.77</v>
      </c>
      <c r="D17" s="4">
        <v>2.97</v>
      </c>
      <c r="E17" s="4">
        <v>3.24</v>
      </c>
      <c r="F17" s="3"/>
      <c r="I17" s="4">
        <v>90</v>
      </c>
      <c r="J17" s="4">
        <v>2.4</v>
      </c>
      <c r="K17" s="6"/>
      <c r="L17" s="6"/>
    </row>
    <row r="18" spans="1:12" ht="18.75" thickBot="1" x14ac:dyDescent="0.3">
      <c r="A18" s="4">
        <v>90</v>
      </c>
      <c r="B18" s="3"/>
      <c r="C18" s="4">
        <v>2.78</v>
      </c>
      <c r="D18" s="4">
        <v>2.99</v>
      </c>
      <c r="E18" s="4">
        <v>3.23</v>
      </c>
      <c r="F18" s="3"/>
      <c r="K18" s="6"/>
      <c r="L18" s="6"/>
    </row>
    <row r="19" spans="1:12" ht="18.75" thickBot="1" x14ac:dyDescent="0.3">
      <c r="A19" s="4">
        <v>95</v>
      </c>
      <c r="B19" s="3"/>
      <c r="C19" s="4">
        <v>2.79</v>
      </c>
      <c r="D19" s="4">
        <v>3.01</v>
      </c>
      <c r="E19" s="4">
        <v>3.23</v>
      </c>
      <c r="F19" s="3"/>
      <c r="K19" s="6"/>
      <c r="L19" s="6"/>
    </row>
    <row r="20" spans="1:12" ht="18.75" thickBot="1" x14ac:dyDescent="0.3">
      <c r="A20" s="4">
        <v>100</v>
      </c>
      <c r="B20" s="4">
        <v>2.92</v>
      </c>
      <c r="C20" s="4">
        <v>2.8</v>
      </c>
      <c r="D20" s="4">
        <v>3.02</v>
      </c>
      <c r="E20" s="4">
        <v>3.23</v>
      </c>
      <c r="F20" s="4">
        <v>3.8</v>
      </c>
    </row>
    <row r="21" spans="1:12" ht="18.75" thickBot="1" x14ac:dyDescent="0.3">
      <c r="A21" s="5">
        <v>105</v>
      </c>
      <c r="B21" s="5">
        <v>2.93</v>
      </c>
      <c r="C21" s="5">
        <v>2.81</v>
      </c>
      <c r="D21" s="5">
        <v>3.03</v>
      </c>
      <c r="E21" s="5">
        <v>3.23</v>
      </c>
      <c r="F21" s="4">
        <v>3.8</v>
      </c>
      <c r="K21" s="3"/>
      <c r="L21" s="3"/>
    </row>
    <row r="22" spans="1:12" ht="18.75" thickBot="1" x14ac:dyDescent="0.3">
      <c r="A22" s="5">
        <v>110</v>
      </c>
      <c r="B22" s="5">
        <v>2.95</v>
      </c>
      <c r="C22" s="5">
        <v>2.83</v>
      </c>
      <c r="D22" s="5">
        <v>3.04</v>
      </c>
      <c r="E22" s="5">
        <v>3.22</v>
      </c>
      <c r="F22" s="4">
        <v>3.8</v>
      </c>
    </row>
    <row r="23" spans="1:12" ht="18.75" thickBot="1" x14ac:dyDescent="0.3">
      <c r="A23" s="5">
        <v>115</v>
      </c>
      <c r="B23" s="5">
        <v>2.97</v>
      </c>
      <c r="C23" s="5">
        <v>2.84</v>
      </c>
      <c r="D23" s="5">
        <v>3.06</v>
      </c>
      <c r="E23" s="5">
        <v>3.21</v>
      </c>
      <c r="F23" s="4">
        <v>3.8</v>
      </c>
      <c r="K23" s="6"/>
      <c r="L23" s="6"/>
    </row>
    <row r="24" spans="1:12" ht="18.75" thickBot="1" x14ac:dyDescent="0.3">
      <c r="A24" s="5">
        <v>120</v>
      </c>
      <c r="B24" s="5">
        <v>2.99</v>
      </c>
      <c r="C24" s="5">
        <v>2.85</v>
      </c>
      <c r="D24" s="5">
        <v>3.08</v>
      </c>
      <c r="E24" s="5">
        <v>3.21</v>
      </c>
      <c r="F24" s="5">
        <v>3.78</v>
      </c>
    </row>
    <row r="25" spans="1:12" ht="18.75" thickBot="1" x14ac:dyDescent="0.3">
      <c r="A25" s="5">
        <v>125</v>
      </c>
      <c r="B25" s="4">
        <v>2.99</v>
      </c>
      <c r="C25" s="4">
        <v>2.86</v>
      </c>
      <c r="D25" s="4">
        <v>3.09</v>
      </c>
      <c r="E25" s="4">
        <v>3.21</v>
      </c>
      <c r="F25" s="5">
        <v>3.78</v>
      </c>
      <c r="K25" s="3"/>
      <c r="L25" s="3"/>
    </row>
    <row r="26" spans="1:12" ht="18.75" thickBot="1" x14ac:dyDescent="0.3">
      <c r="A26" s="4">
        <v>130</v>
      </c>
      <c r="B26" s="4">
        <v>2.97</v>
      </c>
      <c r="C26" s="4">
        <v>2.88</v>
      </c>
      <c r="D26" s="4">
        <v>3.11</v>
      </c>
      <c r="E26" s="4">
        <v>3.21</v>
      </c>
      <c r="F26" s="5">
        <v>3.78</v>
      </c>
    </row>
    <row r="27" spans="1:12" ht="18.75" thickBot="1" x14ac:dyDescent="0.3">
      <c r="A27" s="4">
        <v>135</v>
      </c>
      <c r="B27" s="4">
        <v>2.97</v>
      </c>
      <c r="C27" s="4">
        <v>2.9</v>
      </c>
      <c r="D27" s="4">
        <v>3.13</v>
      </c>
      <c r="E27" s="4">
        <v>3.22</v>
      </c>
      <c r="F27" s="5">
        <v>3.78</v>
      </c>
      <c r="K27" s="6"/>
      <c r="L27" s="6"/>
    </row>
    <row r="28" spans="1:12" ht="18.75" thickBot="1" x14ac:dyDescent="0.3">
      <c r="A28" s="4">
        <v>140</v>
      </c>
      <c r="B28" s="4">
        <v>2.97</v>
      </c>
      <c r="C28" s="4">
        <v>2.91</v>
      </c>
      <c r="D28" s="4">
        <v>3.15</v>
      </c>
      <c r="E28" s="4">
        <v>3.22</v>
      </c>
      <c r="F28" s="4">
        <v>3.8</v>
      </c>
    </row>
    <row r="29" spans="1:12" ht="18.75" thickBot="1" x14ac:dyDescent="0.3">
      <c r="A29" s="4">
        <v>145</v>
      </c>
      <c r="B29" s="5">
        <v>2.97</v>
      </c>
      <c r="C29" s="5">
        <v>2.93</v>
      </c>
      <c r="D29" s="5">
        <v>3.17</v>
      </c>
      <c r="E29" s="5">
        <v>3.23</v>
      </c>
      <c r="F29" s="4">
        <v>3.8</v>
      </c>
      <c r="K29" s="3"/>
      <c r="L29" s="3"/>
    </row>
    <row r="30" spans="1:12" ht="18.75" thickBot="1" x14ac:dyDescent="0.3">
      <c r="A30" s="5">
        <v>150</v>
      </c>
      <c r="B30" s="5">
        <v>2.99</v>
      </c>
      <c r="C30" s="5">
        <v>2.95</v>
      </c>
      <c r="D30" s="5">
        <v>3.19</v>
      </c>
      <c r="E30" s="5">
        <v>3.25</v>
      </c>
      <c r="F30" s="4">
        <v>3.8</v>
      </c>
    </row>
    <row r="31" spans="1:12" ht="18.75" thickBot="1" x14ac:dyDescent="0.3">
      <c r="A31" s="5">
        <v>155</v>
      </c>
      <c r="B31" s="5">
        <v>2.99</v>
      </c>
      <c r="C31" s="5">
        <v>2.97</v>
      </c>
      <c r="D31" s="5">
        <v>3.21</v>
      </c>
      <c r="E31" s="5">
        <v>3.26</v>
      </c>
      <c r="F31" s="4">
        <v>3.8</v>
      </c>
    </row>
    <row r="32" spans="1:12" ht="18.75" thickBot="1" x14ac:dyDescent="0.3">
      <c r="A32" s="5">
        <v>160</v>
      </c>
      <c r="B32" s="5">
        <v>2.99</v>
      </c>
      <c r="C32" s="5">
        <v>2.98</v>
      </c>
      <c r="D32" s="5">
        <v>3.23</v>
      </c>
      <c r="E32" s="5">
        <v>3.28</v>
      </c>
      <c r="F32" s="5">
        <v>3.81</v>
      </c>
    </row>
    <row r="33" spans="1:6" ht="18.75" thickBot="1" x14ac:dyDescent="0.3">
      <c r="A33" s="5">
        <v>165</v>
      </c>
      <c r="B33" s="4">
        <v>3.01</v>
      </c>
      <c r="C33" s="4">
        <v>3</v>
      </c>
      <c r="D33" s="4">
        <v>3.25</v>
      </c>
      <c r="E33" s="4">
        <v>3.3</v>
      </c>
      <c r="F33" s="5">
        <v>3.81</v>
      </c>
    </row>
    <row r="34" spans="1:6" ht="18.75" thickBot="1" x14ac:dyDescent="0.3">
      <c r="A34" s="5">
        <v>170</v>
      </c>
      <c r="B34" s="4">
        <v>3.02</v>
      </c>
      <c r="C34" s="4">
        <v>3.03</v>
      </c>
      <c r="D34" s="4">
        <v>3.27</v>
      </c>
      <c r="E34" s="4">
        <v>3.33</v>
      </c>
      <c r="F34" s="5">
        <v>3.81</v>
      </c>
    </row>
    <row r="35" spans="1:6" ht="18.75" thickBot="1" x14ac:dyDescent="0.3">
      <c r="A35" s="4">
        <v>175</v>
      </c>
      <c r="B35" s="4">
        <v>3.04</v>
      </c>
      <c r="C35" s="4">
        <v>3.06</v>
      </c>
      <c r="D35" s="4">
        <v>3.29</v>
      </c>
      <c r="E35" s="4">
        <v>3.36</v>
      </c>
      <c r="F35" s="4">
        <v>3.81</v>
      </c>
    </row>
    <row r="36" spans="1:6" ht="18.75" thickBot="1" x14ac:dyDescent="0.3">
      <c r="A36" s="4">
        <v>180</v>
      </c>
      <c r="B36" s="4">
        <v>3.05</v>
      </c>
      <c r="C36" s="4">
        <v>3.08</v>
      </c>
      <c r="D36" s="4">
        <v>3.31</v>
      </c>
      <c r="E36" s="4">
        <v>3.4</v>
      </c>
      <c r="F36" s="4">
        <v>3.82</v>
      </c>
    </row>
    <row r="37" spans="1:6" ht="18.75" thickBot="1" x14ac:dyDescent="0.3">
      <c r="A37" s="4">
        <v>185</v>
      </c>
      <c r="B37" s="5">
        <v>3.07</v>
      </c>
      <c r="C37" s="5">
        <v>3.11</v>
      </c>
      <c r="D37" s="5">
        <v>3.34</v>
      </c>
      <c r="E37" s="5">
        <v>3.43</v>
      </c>
      <c r="F37" s="5">
        <v>3.83</v>
      </c>
    </row>
    <row r="38" spans="1:6" ht="18.75" thickBot="1" x14ac:dyDescent="0.3">
      <c r="A38" s="4">
        <v>190</v>
      </c>
      <c r="B38" s="5">
        <v>3.09</v>
      </c>
      <c r="C38" s="5">
        <v>3.13</v>
      </c>
      <c r="D38" s="5">
        <v>3.37</v>
      </c>
      <c r="E38" s="5">
        <v>3.47</v>
      </c>
      <c r="F38" s="5">
        <v>3.84</v>
      </c>
    </row>
    <row r="39" spans="1:6" ht="18.75" thickBot="1" x14ac:dyDescent="0.3">
      <c r="A39" s="5">
        <v>195</v>
      </c>
      <c r="B39" s="5">
        <v>3.11</v>
      </c>
      <c r="C39" s="5">
        <v>3.16</v>
      </c>
      <c r="D39" s="5">
        <v>3.4</v>
      </c>
      <c r="E39" s="5">
        <v>3.51</v>
      </c>
      <c r="F39" s="5">
        <v>3.86</v>
      </c>
    </row>
    <row r="40" spans="1:6" ht="18.75" thickBot="1" x14ac:dyDescent="0.3">
      <c r="A40" s="5">
        <v>200</v>
      </c>
      <c r="B40" s="5">
        <v>3.12</v>
      </c>
      <c r="C40" s="5">
        <v>3.19</v>
      </c>
      <c r="D40" s="5">
        <v>3.42</v>
      </c>
      <c r="E40" s="5">
        <v>3.55</v>
      </c>
      <c r="F40" s="5">
        <v>3.87</v>
      </c>
    </row>
    <row r="41" spans="1:6" ht="18.75" thickBot="1" x14ac:dyDescent="0.3">
      <c r="A41" s="4">
        <v>210</v>
      </c>
      <c r="B41" s="4">
        <v>3.14</v>
      </c>
      <c r="C41" s="4">
        <v>3.26</v>
      </c>
      <c r="D41" s="4">
        <v>3.48</v>
      </c>
      <c r="E41" s="4">
        <v>3.62</v>
      </c>
      <c r="F41" s="4">
        <v>3.89</v>
      </c>
    </row>
    <row r="42" spans="1:6" ht="18.75" thickBot="1" x14ac:dyDescent="0.3">
      <c r="A42" s="4">
        <v>220</v>
      </c>
      <c r="B42" s="4">
        <v>3.17</v>
      </c>
      <c r="C42" s="4">
        <v>3.32</v>
      </c>
      <c r="D42" s="4">
        <v>3.53</v>
      </c>
      <c r="E42" s="4">
        <v>3.7</v>
      </c>
      <c r="F42" s="4">
        <v>3.92</v>
      </c>
    </row>
    <row r="43" spans="1:6" ht="18.75" thickBot="1" x14ac:dyDescent="0.3">
      <c r="A43" s="5">
        <v>230</v>
      </c>
      <c r="B43" s="5">
        <v>3.21</v>
      </c>
      <c r="C43" s="5">
        <v>3.39</v>
      </c>
      <c r="D43" s="5">
        <v>3.8</v>
      </c>
      <c r="E43" s="5">
        <v>3.77</v>
      </c>
      <c r="F43" s="5">
        <v>3.95</v>
      </c>
    </row>
    <row r="44" spans="1:6" ht="18.75" thickBot="1" x14ac:dyDescent="0.3">
      <c r="A44" s="5">
        <v>240</v>
      </c>
      <c r="B44" s="5">
        <v>3.25</v>
      </c>
      <c r="C44" s="5">
        <v>3.45</v>
      </c>
      <c r="D44" s="5">
        <v>3.64</v>
      </c>
      <c r="E44" s="5">
        <v>3.84</v>
      </c>
      <c r="F44" s="5">
        <v>3.97</v>
      </c>
    </row>
    <row r="45" spans="1:6" ht="18.75" thickBot="1" x14ac:dyDescent="0.3">
      <c r="A45" s="4">
        <v>250</v>
      </c>
      <c r="B45" s="4">
        <v>3.35</v>
      </c>
      <c r="C45" s="4">
        <v>3.52</v>
      </c>
      <c r="D45" s="4">
        <v>3.69</v>
      </c>
      <c r="E45" s="4">
        <v>3.88</v>
      </c>
      <c r="F45" s="4">
        <v>4</v>
      </c>
    </row>
    <row r="46" spans="1:6" ht="18.75" thickBot="1" x14ac:dyDescent="0.3">
      <c r="A46" s="4">
        <v>260</v>
      </c>
      <c r="B46" s="4">
        <v>3.45</v>
      </c>
      <c r="C46" s="4">
        <v>3.58</v>
      </c>
      <c r="D46" s="4">
        <v>3.74</v>
      </c>
      <c r="E46" s="4">
        <v>3.93</v>
      </c>
      <c r="F46" s="4">
        <v>4.03</v>
      </c>
    </row>
    <row r="47" spans="1:6" ht="18.75" thickBot="1" x14ac:dyDescent="0.3">
      <c r="A47" s="5">
        <v>270</v>
      </c>
      <c r="B47" s="5">
        <v>3.55</v>
      </c>
      <c r="C47" s="5">
        <v>3.63</v>
      </c>
      <c r="D47" s="5">
        <v>3.78</v>
      </c>
      <c r="E47" s="5">
        <v>3.96</v>
      </c>
      <c r="F47" s="5">
        <v>4.07</v>
      </c>
    </row>
    <row r="48" spans="1:6" ht="18.75" thickBot="1" x14ac:dyDescent="0.3">
      <c r="A48" s="5">
        <v>280</v>
      </c>
      <c r="B48" s="5">
        <v>3.65</v>
      </c>
      <c r="C48" s="5">
        <v>3.69</v>
      </c>
      <c r="D48" s="5">
        <v>3.83</v>
      </c>
      <c r="E48" s="5">
        <v>4</v>
      </c>
      <c r="F48" s="5">
        <v>4.0999999999999996</v>
      </c>
    </row>
    <row r="49" spans="1:6" ht="18.75" thickBot="1" x14ac:dyDescent="0.3">
      <c r="A49" s="4">
        <v>290</v>
      </c>
      <c r="B49" s="4">
        <v>3.68</v>
      </c>
      <c r="C49" s="4">
        <v>3.74</v>
      </c>
      <c r="D49" s="4">
        <v>3.87</v>
      </c>
      <c r="E49" s="4">
        <v>4.0199999999999996</v>
      </c>
      <c r="F49" s="4">
        <v>4.1500000000000004</v>
      </c>
    </row>
    <row r="50" spans="1:6" ht="18.75" thickBot="1" x14ac:dyDescent="0.3">
      <c r="A50" s="4">
        <v>300</v>
      </c>
      <c r="B50" s="4">
        <v>3.71</v>
      </c>
      <c r="C50" s="4">
        <v>3.78</v>
      </c>
      <c r="D50" s="4">
        <v>3.9</v>
      </c>
      <c r="E50" s="4">
        <v>4.04</v>
      </c>
      <c r="F50" s="4">
        <v>4.2</v>
      </c>
    </row>
    <row r="51" spans="1:6" ht="18.75" thickBot="1" x14ac:dyDescent="0.3">
      <c r="A51" s="5">
        <v>320</v>
      </c>
      <c r="B51" s="5">
        <v>3.79</v>
      </c>
      <c r="C51" s="5">
        <v>3.84</v>
      </c>
      <c r="D51" s="5">
        <v>3.95</v>
      </c>
      <c r="E51" s="5">
        <v>4.12</v>
      </c>
      <c r="F51" s="5">
        <v>4.3099999999999996</v>
      </c>
    </row>
    <row r="52" spans="1:6" ht="18.75" thickBot="1" x14ac:dyDescent="0.3">
      <c r="A52" s="4">
        <v>340</v>
      </c>
      <c r="B52" s="4">
        <v>3.86</v>
      </c>
      <c r="C52" s="4">
        <v>3.88</v>
      </c>
      <c r="D52" s="4">
        <v>4.0199999999999996</v>
      </c>
      <c r="E52" s="4">
        <v>4.26</v>
      </c>
      <c r="F52" s="4">
        <v>4.4400000000000004</v>
      </c>
    </row>
    <row r="53" spans="1:6" ht="18.75" thickBot="1" x14ac:dyDescent="0.3">
      <c r="A53" s="5">
        <v>360</v>
      </c>
      <c r="B53" s="5">
        <v>3.92</v>
      </c>
      <c r="C53" s="5">
        <v>3.95</v>
      </c>
      <c r="D53" s="5">
        <v>4.1100000000000003</v>
      </c>
      <c r="E53" s="5">
        <v>4.41</v>
      </c>
      <c r="F53" s="5">
        <v>4.5599999999999996</v>
      </c>
    </row>
    <row r="54" spans="1:6" ht="18.75" thickBot="1" x14ac:dyDescent="0.3">
      <c r="A54" s="4">
        <v>380</v>
      </c>
      <c r="B54" s="4">
        <v>3.96</v>
      </c>
      <c r="C54" s="4">
        <v>4.03</v>
      </c>
      <c r="D54" s="4">
        <v>4.21</v>
      </c>
      <c r="E54" s="4">
        <v>4.55</v>
      </c>
      <c r="F54" s="4">
        <v>4.66</v>
      </c>
    </row>
    <row r="55" spans="1:6" ht="18.75" thickBot="1" x14ac:dyDescent="0.3">
      <c r="A55" s="5">
        <v>400</v>
      </c>
      <c r="B55" s="5">
        <v>3.99</v>
      </c>
      <c r="C55" s="5">
        <v>4.1100000000000003</v>
      </c>
      <c r="D55" s="5">
        <v>4.3</v>
      </c>
      <c r="E55" s="5">
        <v>4.6900000000000004</v>
      </c>
      <c r="F55" s="5">
        <v>4.75</v>
      </c>
    </row>
    <row r="56" spans="1:6" ht="18.75" thickBot="1" x14ac:dyDescent="0.3">
      <c r="A56" s="4">
        <v>420</v>
      </c>
      <c r="B56" s="4">
        <v>4.0199999999999996</v>
      </c>
      <c r="C56" s="4">
        <v>4.1500000000000004</v>
      </c>
      <c r="D56" s="4">
        <v>4.34</v>
      </c>
      <c r="E56" s="4">
        <v>4.7300000000000004</v>
      </c>
      <c r="F56" s="4">
        <v>4.79</v>
      </c>
    </row>
    <row r="57" spans="1:6" ht="18.75" thickBot="1" x14ac:dyDescent="0.3">
      <c r="A57" s="5">
        <v>440</v>
      </c>
      <c r="B57" s="5">
        <v>4.08</v>
      </c>
      <c r="C57" s="5">
        <v>4.2</v>
      </c>
      <c r="D57" s="5">
        <v>4.3899999999999997</v>
      </c>
      <c r="E57" s="5">
        <v>4.78</v>
      </c>
      <c r="F57" s="5">
        <v>4.84</v>
      </c>
    </row>
    <row r="58" spans="1:6" ht="18.75" thickBot="1" x14ac:dyDescent="0.3">
      <c r="A58" s="4">
        <v>460</v>
      </c>
      <c r="B58" s="4">
        <v>4.17</v>
      </c>
      <c r="C58" s="4">
        <v>4.29</v>
      </c>
      <c r="D58" s="4">
        <v>4.4800000000000004</v>
      </c>
      <c r="E58" s="4">
        <v>4.87</v>
      </c>
      <c r="F58" s="4">
        <v>4.93</v>
      </c>
    </row>
    <row r="59" spans="1:6" ht="18.75" thickBot="1" x14ac:dyDescent="0.3">
      <c r="A59" s="5">
        <v>480</v>
      </c>
      <c r="B59" s="5">
        <v>4.28</v>
      </c>
      <c r="C59" s="5">
        <v>4.4000000000000004</v>
      </c>
      <c r="D59" s="5">
        <v>4.59</v>
      </c>
      <c r="E59" s="5">
        <v>4.9800000000000004</v>
      </c>
      <c r="F59" s="5">
        <v>5.04</v>
      </c>
    </row>
    <row r="60" spans="1:6" ht="18.75" thickBot="1" x14ac:dyDescent="0.3">
      <c r="A60" s="4">
        <v>500</v>
      </c>
      <c r="B60" s="4">
        <v>4.41</v>
      </c>
      <c r="C60" s="4">
        <v>4.53</v>
      </c>
      <c r="D60" s="4">
        <v>4.72</v>
      </c>
      <c r="E60" s="4">
        <v>5.1100000000000003</v>
      </c>
      <c r="F60" s="4">
        <v>5.17</v>
      </c>
    </row>
    <row r="61" spans="1:6" ht="18.75" thickBot="1" x14ac:dyDescent="0.3">
      <c r="A61" s="5">
        <v>520</v>
      </c>
      <c r="B61" s="5">
        <v>4.54</v>
      </c>
      <c r="C61" s="5">
        <v>4.8499999999999996</v>
      </c>
      <c r="D61" s="5">
        <v>4.8499999999999996</v>
      </c>
      <c r="E61" s="5">
        <v>5.24</v>
      </c>
      <c r="F61" s="5">
        <v>5.3</v>
      </c>
    </row>
    <row r="62" spans="1:6" ht="18.75" thickBot="1" x14ac:dyDescent="0.3">
      <c r="A62" s="4">
        <v>540</v>
      </c>
      <c r="B62" s="4">
        <v>4.6500000000000004</v>
      </c>
      <c r="C62" s="4">
        <v>4.97</v>
      </c>
      <c r="D62" s="4">
        <v>4.97</v>
      </c>
      <c r="E62" s="4">
        <v>5.36</v>
      </c>
      <c r="F62" s="4">
        <v>5.42</v>
      </c>
    </row>
    <row r="63" spans="1:6" ht="18.75" thickBot="1" x14ac:dyDescent="0.3">
      <c r="A63" s="5">
        <v>560</v>
      </c>
      <c r="B63" s="5">
        <v>4.74</v>
      </c>
      <c r="C63" s="5">
        <v>5.05</v>
      </c>
      <c r="D63" s="5">
        <v>5.05</v>
      </c>
      <c r="E63" s="5">
        <v>5.44</v>
      </c>
      <c r="F63" s="5">
        <v>5.5</v>
      </c>
    </row>
    <row r="64" spans="1:6" ht="18.75" thickBot="1" x14ac:dyDescent="0.3">
      <c r="A64" s="4">
        <v>580</v>
      </c>
      <c r="B64" s="4">
        <v>4.79</v>
      </c>
      <c r="C64" s="4">
        <v>5.0999999999999996</v>
      </c>
      <c r="D64" s="4">
        <v>5.0999999999999996</v>
      </c>
      <c r="E64" s="4">
        <v>5.49</v>
      </c>
      <c r="F64" s="4">
        <v>5.55</v>
      </c>
    </row>
    <row r="65" spans="1:6" ht="18.75" thickBot="1" x14ac:dyDescent="0.3">
      <c r="A65" s="5">
        <v>600</v>
      </c>
      <c r="B65" s="5">
        <v>4.82</v>
      </c>
      <c r="C65" s="5">
        <v>5.13</v>
      </c>
      <c r="D65" s="5">
        <v>5.13</v>
      </c>
      <c r="E65" s="5">
        <v>5.52</v>
      </c>
      <c r="F65" s="5">
        <v>5.58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AB42E-F800-4FEE-88A8-AA172C5A87ED}">
  <dimension ref="A1:W65"/>
  <sheetViews>
    <sheetView tabSelected="1" workbookViewId="0">
      <selection activeCell="P23" sqref="P23"/>
    </sheetView>
  </sheetViews>
  <sheetFormatPr defaultRowHeight="15" x14ac:dyDescent="0.25"/>
  <cols>
    <col min="1" max="1" width="9.7109375" customWidth="1"/>
    <col min="9" max="9" width="9.5703125" bestFit="1" customWidth="1"/>
    <col min="12" max="12" width="14.7109375" bestFit="1" customWidth="1"/>
    <col min="13" max="13" width="16.42578125" bestFit="1" customWidth="1"/>
    <col min="17" max="17" width="10.5703125" bestFit="1" customWidth="1"/>
    <col min="22" max="22" width="12.85546875" bestFit="1" customWidth="1"/>
    <col min="23" max="23" width="15.7109375" bestFit="1" customWidth="1"/>
  </cols>
  <sheetData>
    <row r="1" spans="1:23" x14ac:dyDescent="0.25">
      <c r="A1" t="str">
        <f>source!A1</f>
        <v>DISTANCE</v>
      </c>
      <c r="B1" t="str">
        <f>source!B1</f>
        <v>TEE</v>
      </c>
      <c r="C1" t="str">
        <f>source!C1</f>
        <v>FAIRWAY</v>
      </c>
      <c r="D1" t="str">
        <f>source!D1</f>
        <v>ROUGH</v>
      </c>
      <c r="E1" t="str">
        <f>source!E1</f>
        <v>SAND</v>
      </c>
      <c r="F1" t="str">
        <f>source!F1</f>
        <v>RECOVERY</v>
      </c>
      <c r="I1" t="str">
        <f>source!I1</f>
        <v>DISTANCE</v>
      </c>
      <c r="J1" t="str">
        <f>source!J1</f>
        <v>GREEN</v>
      </c>
      <c r="L1" t="s">
        <v>13</v>
      </c>
      <c r="M1" t="s">
        <v>14</v>
      </c>
      <c r="P1" t="str">
        <f>source!P1</f>
        <v>TEE</v>
      </c>
      <c r="Q1" t="str">
        <f>source!Q1</f>
        <v>APPROACH</v>
      </c>
      <c r="R1" t="str">
        <f>source!R1</f>
        <v>SHORT</v>
      </c>
      <c r="S1" t="str">
        <f>source!S1</f>
        <v>PUTT</v>
      </c>
      <c r="V1" t="s">
        <v>11</v>
      </c>
      <c r="W1" t="s">
        <v>12</v>
      </c>
    </row>
    <row r="2" spans="1:23" x14ac:dyDescent="0.25">
      <c r="A2">
        <f>source!A2/metric!$W$2</f>
        <v>9.1439999861011216</v>
      </c>
      <c r="B2">
        <f>source!B2</f>
        <v>0</v>
      </c>
      <c r="C2">
        <f>source!C2</f>
        <v>2.2000000000000002</v>
      </c>
      <c r="D2">
        <f>source!D2</f>
        <v>2.4900000000000002</v>
      </c>
      <c r="E2">
        <f>source!E2</f>
        <v>2.41</v>
      </c>
      <c r="F2">
        <f>source!F2</f>
        <v>0</v>
      </c>
      <c r="I2">
        <f>source!I2/metric!$V$2</f>
        <v>0.304799999536704</v>
      </c>
      <c r="J2">
        <f>source!J2</f>
        <v>1</v>
      </c>
      <c r="M2" s="12">
        <f>SUM(C2:E2)/3</f>
        <v>2.3666666666666667</v>
      </c>
      <c r="O2" t="str">
        <f>source!O2</f>
        <v>scratch</v>
      </c>
      <c r="P2">
        <f>source!P2</f>
        <v>1.78</v>
      </c>
      <c r="Q2">
        <f>source!Q2</f>
        <v>2.0299999999999998</v>
      </c>
      <c r="R2">
        <f>source!R2</f>
        <v>0.39</v>
      </c>
      <c r="S2">
        <f>source!S2</f>
        <v>0.94</v>
      </c>
      <c r="V2">
        <v>3.2808399000000001</v>
      </c>
      <c r="W2">
        <v>1.0936132999999999</v>
      </c>
    </row>
    <row r="3" spans="1:23" x14ac:dyDescent="0.25">
      <c r="A3">
        <f>source!A3/metric!$W$2</f>
        <v>13.715999979151681</v>
      </c>
      <c r="B3">
        <f>source!B3</f>
        <v>0</v>
      </c>
      <c r="C3">
        <f>source!C3</f>
        <v>2.2999999999999998</v>
      </c>
      <c r="D3">
        <f>source!D3</f>
        <v>2.54</v>
      </c>
      <c r="E3">
        <f>source!E3</f>
        <v>2.4700000000000002</v>
      </c>
      <c r="F3">
        <f>source!F3</f>
        <v>0</v>
      </c>
      <c r="I3">
        <f>source!I3/metric!$V$2</f>
        <v>0.91439999861011201</v>
      </c>
      <c r="J3">
        <f>source!J3</f>
        <v>1.04</v>
      </c>
      <c r="M3" s="12">
        <f t="shared" ref="M3:M19" si="0">SUM(C3:E3)/3</f>
        <v>2.436666666666667</v>
      </c>
      <c r="O3">
        <f>source!O3</f>
        <v>5</v>
      </c>
      <c r="P3">
        <f>source!P3</f>
        <v>3.31</v>
      </c>
      <c r="Q3">
        <f>source!Q3</f>
        <v>4.29</v>
      </c>
      <c r="R3">
        <f>source!R3</f>
        <v>0.97</v>
      </c>
      <c r="S3">
        <f>source!S3</f>
        <v>1.42</v>
      </c>
    </row>
    <row r="4" spans="1:23" x14ac:dyDescent="0.25">
      <c r="A4">
        <f>source!A4/metric!$W$2</f>
        <v>18.287999972202243</v>
      </c>
      <c r="B4">
        <f>source!B4</f>
        <v>0</v>
      </c>
      <c r="C4">
        <f>source!C4</f>
        <v>2.4</v>
      </c>
      <c r="D4">
        <f>source!D4</f>
        <v>2.59</v>
      </c>
      <c r="E4">
        <f>source!E4</f>
        <v>2.5299999999999998</v>
      </c>
      <c r="F4">
        <f>source!F4</f>
        <v>0</v>
      </c>
      <c r="I4">
        <f>source!I4/metric!$V$2</f>
        <v>1.219199998146816</v>
      </c>
      <c r="J4">
        <f>source!J4</f>
        <v>1.1299999999999999</v>
      </c>
      <c r="M4" s="12">
        <f t="shared" si="0"/>
        <v>2.5066666666666664</v>
      </c>
      <c r="O4">
        <f>source!O4</f>
        <v>10</v>
      </c>
      <c r="P4">
        <f>source!P4</f>
        <v>3.61</v>
      </c>
      <c r="Q4">
        <f>source!Q4</f>
        <v>6.11</v>
      </c>
      <c r="R4">
        <f>source!R4</f>
        <v>1.33</v>
      </c>
      <c r="S4">
        <f>source!S4</f>
        <v>2.77</v>
      </c>
    </row>
    <row r="5" spans="1:23" x14ac:dyDescent="0.25">
      <c r="A5">
        <f>source!A5/metric!$W$2</f>
        <v>22.859999965252801</v>
      </c>
      <c r="B5">
        <f>source!B5</f>
        <v>0</v>
      </c>
      <c r="C5">
        <f>source!C5</f>
        <v>2.4500000000000002</v>
      </c>
      <c r="D5">
        <f>source!D5</f>
        <v>2.64</v>
      </c>
      <c r="E5">
        <f>source!E5</f>
        <v>2.59</v>
      </c>
      <c r="F5">
        <f>source!F5</f>
        <v>0</v>
      </c>
      <c r="I5">
        <f>source!I5/metric!$V$2</f>
        <v>1.5239999976835199</v>
      </c>
      <c r="J5">
        <f>source!J5</f>
        <v>1.23</v>
      </c>
      <c r="M5" s="12">
        <f t="shared" si="0"/>
        <v>2.56</v>
      </c>
      <c r="O5">
        <f>source!O5</f>
        <v>15</v>
      </c>
      <c r="P5">
        <f>source!P5</f>
        <v>4.8600000000000003</v>
      </c>
      <c r="Q5">
        <f>source!Q5</f>
        <v>8.5399999999999991</v>
      </c>
      <c r="R5">
        <f>source!R5</f>
        <v>4.46</v>
      </c>
      <c r="S5">
        <f>source!S5</f>
        <v>4.46</v>
      </c>
    </row>
    <row r="6" spans="1:23" x14ac:dyDescent="0.25">
      <c r="A6">
        <f>source!A6/metric!$W$2</f>
        <v>27.431999958303361</v>
      </c>
      <c r="B6">
        <f>source!B6</f>
        <v>0</v>
      </c>
      <c r="C6">
        <f>source!C6</f>
        <v>2.5</v>
      </c>
      <c r="D6">
        <f>source!D6</f>
        <v>2.69</v>
      </c>
      <c r="E6">
        <f>source!E6</f>
        <v>2.67</v>
      </c>
      <c r="F6">
        <f>source!F6</f>
        <v>0</v>
      </c>
      <c r="I6">
        <f>source!I6/metric!$V$2</f>
        <v>1.828799997220224</v>
      </c>
      <c r="J6">
        <f>source!J6</f>
        <v>1.34</v>
      </c>
      <c r="M6" s="12">
        <f t="shared" si="0"/>
        <v>2.6199999999999997</v>
      </c>
      <c r="O6">
        <f>source!O6</f>
        <v>20</v>
      </c>
      <c r="P6">
        <f>source!P6</f>
        <v>5.75</v>
      </c>
      <c r="Q6">
        <f>source!Q6</f>
        <v>11.26</v>
      </c>
      <c r="R6">
        <f>source!R6</f>
        <v>4.4800000000000004</v>
      </c>
      <c r="S6">
        <f>source!S6</f>
        <v>4.4800000000000004</v>
      </c>
    </row>
    <row r="7" spans="1:23" x14ac:dyDescent="0.25">
      <c r="A7">
        <f>source!A7/metric!$W$2</f>
        <v>32.003999951353926</v>
      </c>
      <c r="B7">
        <f>source!B7</f>
        <v>0</v>
      </c>
      <c r="C7">
        <f>source!C7</f>
        <v>2.5499999999999998</v>
      </c>
      <c r="D7">
        <f>source!D7</f>
        <v>2.74</v>
      </c>
      <c r="E7">
        <f>source!E7</f>
        <v>2.76</v>
      </c>
      <c r="F7">
        <f>source!F7</f>
        <v>0</v>
      </c>
      <c r="I7">
        <f>source!I7/metric!$V$2</f>
        <v>2.1335999967569279</v>
      </c>
      <c r="J7">
        <f>source!J7</f>
        <v>1.42</v>
      </c>
      <c r="M7" s="12">
        <f t="shared" si="0"/>
        <v>2.6833333333333336</v>
      </c>
      <c r="O7">
        <f>source!O7</f>
        <v>25</v>
      </c>
      <c r="P7">
        <f>source!P7</f>
        <v>7.53</v>
      </c>
      <c r="Q7">
        <f>source!Q7</f>
        <v>14.23</v>
      </c>
      <c r="R7">
        <f>source!R7</f>
        <v>4.71</v>
      </c>
      <c r="S7">
        <f>source!S7</f>
        <v>4.71</v>
      </c>
    </row>
    <row r="8" spans="1:23" x14ac:dyDescent="0.25">
      <c r="A8">
        <f>source!A8/metric!$W$2</f>
        <v>36.575999944404487</v>
      </c>
      <c r="B8">
        <f>source!B8</f>
        <v>0</v>
      </c>
      <c r="C8">
        <f>source!C8</f>
        <v>2.6</v>
      </c>
      <c r="D8">
        <f>source!D8</f>
        <v>2.78</v>
      </c>
      <c r="E8">
        <f>source!E8</f>
        <v>2.82</v>
      </c>
      <c r="F8">
        <f>source!F8</f>
        <v>0</v>
      </c>
      <c r="I8">
        <f>source!I8/metric!$V$2</f>
        <v>2.438399996293632</v>
      </c>
      <c r="J8">
        <f>source!J8</f>
        <v>1.5</v>
      </c>
      <c r="M8" s="12">
        <f t="shared" si="0"/>
        <v>2.7333333333333329</v>
      </c>
    </row>
    <row r="9" spans="1:23" x14ac:dyDescent="0.25">
      <c r="A9">
        <f>source!A9/metric!$W$2</f>
        <v>41.147999937455047</v>
      </c>
      <c r="B9">
        <f>source!B9</f>
        <v>0</v>
      </c>
      <c r="C9">
        <f>source!C9</f>
        <v>2.62</v>
      </c>
      <c r="D9">
        <f>source!D9</f>
        <v>2.82</v>
      </c>
      <c r="E9">
        <f>source!E9</f>
        <v>2.9</v>
      </c>
      <c r="F9">
        <f>source!F9</f>
        <v>0</v>
      </c>
      <c r="I9">
        <f>source!I9/metric!$V$2</f>
        <v>2.7431999958303357</v>
      </c>
      <c r="J9">
        <f>source!J9</f>
        <v>1.56</v>
      </c>
      <c r="M9" s="12">
        <f t="shared" si="0"/>
        <v>2.78</v>
      </c>
    </row>
    <row r="10" spans="1:23" x14ac:dyDescent="0.25">
      <c r="A10">
        <f>source!A10/metric!$W$2</f>
        <v>45.719999930505601</v>
      </c>
      <c r="B10">
        <f>source!B10</f>
        <v>0</v>
      </c>
      <c r="C10">
        <f>source!C10</f>
        <v>2.65</v>
      </c>
      <c r="D10">
        <f>source!D10</f>
        <v>2.85</v>
      </c>
      <c r="E10">
        <f>source!E10</f>
        <v>2.98</v>
      </c>
      <c r="F10">
        <f>source!F10</f>
        <v>0</v>
      </c>
      <c r="I10">
        <f>source!I10/metric!$V$2</f>
        <v>3.0479999953670398</v>
      </c>
      <c r="J10">
        <f>source!J10</f>
        <v>1.61</v>
      </c>
      <c r="M10" s="12">
        <f t="shared" si="0"/>
        <v>2.8266666666666667</v>
      </c>
    </row>
    <row r="11" spans="1:23" x14ac:dyDescent="0.25">
      <c r="A11">
        <f>source!A11/metric!$W$2</f>
        <v>50.291999923556162</v>
      </c>
      <c r="B11">
        <f>source!B11</f>
        <v>0</v>
      </c>
      <c r="C11">
        <f>source!C11</f>
        <v>2.67</v>
      </c>
      <c r="D11">
        <f>source!D11</f>
        <v>2.88</v>
      </c>
      <c r="E11">
        <f>source!E11</f>
        <v>3.07</v>
      </c>
      <c r="F11">
        <f>source!F11</f>
        <v>0</v>
      </c>
      <c r="I11">
        <f>source!I11/metric!$V$2</f>
        <v>4.5719999930505599</v>
      </c>
      <c r="J11">
        <f>source!J11</f>
        <v>1.78</v>
      </c>
      <c r="M11" s="12">
        <f t="shared" si="0"/>
        <v>2.8733333333333331</v>
      </c>
    </row>
    <row r="12" spans="1:23" x14ac:dyDescent="0.25">
      <c r="A12">
        <f>source!A12/metric!$W$2</f>
        <v>54.863999916606723</v>
      </c>
      <c r="B12">
        <f>source!B12</f>
        <v>0</v>
      </c>
      <c r="C12">
        <f>source!C12</f>
        <v>2.7</v>
      </c>
      <c r="D12">
        <f>source!D12</f>
        <v>2.91</v>
      </c>
      <c r="E12">
        <f>source!E12</f>
        <v>3.15</v>
      </c>
      <c r="F12">
        <f>source!F12</f>
        <v>0</v>
      </c>
      <c r="I12">
        <f>source!I12/metric!$V$2</f>
        <v>6.0959999907340796</v>
      </c>
      <c r="J12">
        <f>source!J12</f>
        <v>1.87</v>
      </c>
      <c r="M12" s="12">
        <f t="shared" si="0"/>
        <v>2.92</v>
      </c>
    </row>
    <row r="13" spans="1:23" x14ac:dyDescent="0.25">
      <c r="A13">
        <f>source!A13/metric!$W$2</f>
        <v>59.435999909657284</v>
      </c>
      <c r="B13">
        <f>source!B13</f>
        <v>0</v>
      </c>
      <c r="C13">
        <f>source!C13</f>
        <v>2.72</v>
      </c>
      <c r="D13">
        <f>source!D13</f>
        <v>2.92</v>
      </c>
      <c r="E13">
        <f>source!E13</f>
        <v>3.17</v>
      </c>
      <c r="F13">
        <f>source!F13</f>
        <v>0</v>
      </c>
      <c r="I13">
        <f>source!I13/metric!$V$2</f>
        <v>9.1439999861011199</v>
      </c>
      <c r="J13">
        <f>source!J13</f>
        <v>1.98</v>
      </c>
      <c r="M13" s="12">
        <f t="shared" si="0"/>
        <v>2.936666666666667</v>
      </c>
    </row>
    <row r="14" spans="1:23" x14ac:dyDescent="0.25">
      <c r="A14">
        <f>source!A14/metric!$W$2</f>
        <v>64.007999902707851</v>
      </c>
      <c r="B14">
        <f>source!B14</f>
        <v>0</v>
      </c>
      <c r="C14">
        <f>source!C14</f>
        <v>2.73</v>
      </c>
      <c r="D14">
        <f>source!D14</f>
        <v>2.93</v>
      </c>
      <c r="E14">
        <f>source!E14</f>
        <v>3.19</v>
      </c>
      <c r="F14">
        <f>source!F14</f>
        <v>0</v>
      </c>
      <c r="I14">
        <f>source!I14/metric!$V$2</f>
        <v>12.191999981468159</v>
      </c>
      <c r="J14">
        <f>source!J14</f>
        <v>2.06</v>
      </c>
      <c r="M14" s="12">
        <f t="shared" si="0"/>
        <v>2.9499999999999997</v>
      </c>
    </row>
    <row r="15" spans="1:23" x14ac:dyDescent="0.25">
      <c r="A15">
        <f>source!A15/metric!$W$2</f>
        <v>68.579999895758405</v>
      </c>
      <c r="B15">
        <f>source!B15</f>
        <v>0</v>
      </c>
      <c r="C15">
        <f>source!C15</f>
        <v>2.74</v>
      </c>
      <c r="D15">
        <f>source!D15</f>
        <v>2.95</v>
      </c>
      <c r="E15">
        <f>source!E15</f>
        <v>3.22</v>
      </c>
      <c r="F15">
        <f>source!F15</f>
        <v>0</v>
      </c>
      <c r="I15">
        <f>source!I15/metric!$V$2</f>
        <v>15.239999976835199</v>
      </c>
      <c r="J15">
        <f>source!J15</f>
        <v>2.14</v>
      </c>
      <c r="M15" s="12">
        <f t="shared" si="0"/>
        <v>2.97</v>
      </c>
    </row>
    <row r="16" spans="1:23" x14ac:dyDescent="0.25">
      <c r="A16">
        <f>source!A16/metric!$W$2</f>
        <v>73.151999888808973</v>
      </c>
      <c r="B16">
        <f>source!B16</f>
        <v>0</v>
      </c>
      <c r="C16">
        <f>source!C16</f>
        <v>2.75</v>
      </c>
      <c r="D16">
        <f>source!D16</f>
        <v>2.96</v>
      </c>
      <c r="E16">
        <f>source!E16</f>
        <v>3.24</v>
      </c>
      <c r="F16">
        <f>source!F16</f>
        <v>0</v>
      </c>
      <c r="I16">
        <f>source!I16/metric!$V$2</f>
        <v>18.28799997220224</v>
      </c>
      <c r="J16">
        <f>source!J16</f>
        <v>2.21</v>
      </c>
      <c r="M16" s="12">
        <f t="shared" si="0"/>
        <v>2.9833333333333329</v>
      </c>
    </row>
    <row r="17" spans="1:13" x14ac:dyDescent="0.25">
      <c r="A17">
        <f>source!A17/metric!$W$2</f>
        <v>77.723999881859527</v>
      </c>
      <c r="B17">
        <f>source!B17</f>
        <v>0</v>
      </c>
      <c r="C17">
        <f>source!C17</f>
        <v>2.77</v>
      </c>
      <c r="D17">
        <f>source!D17</f>
        <v>2.97</v>
      </c>
      <c r="E17">
        <f>source!E17</f>
        <v>3.24</v>
      </c>
      <c r="F17">
        <f>source!F17</f>
        <v>0</v>
      </c>
      <c r="I17">
        <f>source!I17/metric!$V$2</f>
        <v>27.431999958303358</v>
      </c>
      <c r="J17">
        <f>source!J17</f>
        <v>2.4</v>
      </c>
      <c r="M17" s="12">
        <f t="shared" si="0"/>
        <v>2.9933333333333336</v>
      </c>
    </row>
    <row r="18" spans="1:13" x14ac:dyDescent="0.25">
      <c r="A18">
        <f>source!A18/metric!$W$2</f>
        <v>82.295999874910095</v>
      </c>
      <c r="B18">
        <f>source!B18</f>
        <v>0</v>
      </c>
      <c r="C18">
        <f>source!C18</f>
        <v>2.78</v>
      </c>
      <c r="D18">
        <f>source!D18</f>
        <v>2.99</v>
      </c>
      <c r="E18">
        <f>source!E18</f>
        <v>3.23</v>
      </c>
      <c r="F18">
        <f>source!F18</f>
        <v>0</v>
      </c>
      <c r="M18" s="12">
        <f t="shared" si="0"/>
        <v>3</v>
      </c>
    </row>
    <row r="19" spans="1:13" x14ac:dyDescent="0.25">
      <c r="A19">
        <f>source!A19/metric!$W$2</f>
        <v>86.867999867960648</v>
      </c>
      <c r="B19">
        <f>source!B19</f>
        <v>0</v>
      </c>
      <c r="C19">
        <f>source!C19</f>
        <v>2.79</v>
      </c>
      <c r="D19">
        <f>source!D19</f>
        <v>3.01</v>
      </c>
      <c r="E19">
        <f>source!E19</f>
        <v>3.23</v>
      </c>
      <c r="F19">
        <f>source!F19</f>
        <v>0</v>
      </c>
      <c r="M19" s="12">
        <f t="shared" si="0"/>
        <v>3.01</v>
      </c>
    </row>
    <row r="20" spans="1:13" x14ac:dyDescent="0.25">
      <c r="A20">
        <f>source!A20/metric!$W$2</f>
        <v>91.439999861011202</v>
      </c>
      <c r="B20">
        <f>source!B20</f>
        <v>2.92</v>
      </c>
      <c r="C20">
        <f>source!C20</f>
        <v>2.8</v>
      </c>
      <c r="D20">
        <f>source!D20</f>
        <v>3.02</v>
      </c>
      <c r="E20">
        <f>source!E20</f>
        <v>3.23</v>
      </c>
      <c r="F20">
        <f>source!F20</f>
        <v>3.8</v>
      </c>
      <c r="L20" s="13">
        <f>SUM(C20:E20)/3</f>
        <v>3.0166666666666671</v>
      </c>
    </row>
    <row r="21" spans="1:13" x14ac:dyDescent="0.25">
      <c r="A21">
        <f>source!A21/metric!$W$2</f>
        <v>96.01199985406177</v>
      </c>
      <c r="B21">
        <f>source!B21</f>
        <v>2.93</v>
      </c>
      <c r="C21">
        <f>source!C21</f>
        <v>2.81</v>
      </c>
      <c r="D21">
        <f>source!D21</f>
        <v>3.03</v>
      </c>
      <c r="E21">
        <f>source!E21</f>
        <v>3.23</v>
      </c>
      <c r="F21">
        <f>source!F21</f>
        <v>3.8</v>
      </c>
      <c r="L21" s="13">
        <f t="shared" ref="L21:L65" si="1">SUM(C21:E21)/3</f>
        <v>3.0233333333333334</v>
      </c>
    </row>
    <row r="22" spans="1:13" x14ac:dyDescent="0.25">
      <c r="A22">
        <f>source!A22/metric!$W$2</f>
        <v>100.58399984711232</v>
      </c>
      <c r="B22">
        <f>source!B22</f>
        <v>2.95</v>
      </c>
      <c r="C22">
        <f>source!C22</f>
        <v>2.83</v>
      </c>
      <c r="D22">
        <f>source!D22</f>
        <v>3.04</v>
      </c>
      <c r="E22">
        <f>source!E22</f>
        <v>3.22</v>
      </c>
      <c r="F22">
        <f>source!F22</f>
        <v>3.8</v>
      </c>
      <c r="L22" s="13">
        <f t="shared" si="1"/>
        <v>3.03</v>
      </c>
    </row>
    <row r="23" spans="1:13" x14ac:dyDescent="0.25">
      <c r="A23">
        <f>source!A23/metric!$W$2</f>
        <v>105.15599984016289</v>
      </c>
      <c r="B23">
        <f>source!B23</f>
        <v>2.97</v>
      </c>
      <c r="C23">
        <f>source!C23</f>
        <v>2.84</v>
      </c>
      <c r="D23">
        <f>source!D23</f>
        <v>3.06</v>
      </c>
      <c r="E23">
        <f>source!E23</f>
        <v>3.21</v>
      </c>
      <c r="F23">
        <f>source!F23</f>
        <v>3.8</v>
      </c>
      <c r="L23" s="13">
        <f t="shared" si="1"/>
        <v>3.0366666666666666</v>
      </c>
    </row>
    <row r="24" spans="1:13" x14ac:dyDescent="0.25">
      <c r="A24">
        <f>source!A24/metric!$W$2</f>
        <v>109.72799983321345</v>
      </c>
      <c r="B24">
        <f>source!B24</f>
        <v>2.99</v>
      </c>
      <c r="C24">
        <f>source!C24</f>
        <v>2.85</v>
      </c>
      <c r="D24">
        <f>source!D24</f>
        <v>3.08</v>
      </c>
      <c r="E24">
        <f>source!E24</f>
        <v>3.21</v>
      </c>
      <c r="F24">
        <f>source!F24</f>
        <v>3.78</v>
      </c>
      <c r="L24" s="13">
        <f t="shared" si="1"/>
        <v>3.0466666666666669</v>
      </c>
    </row>
    <row r="25" spans="1:13" x14ac:dyDescent="0.25">
      <c r="A25">
        <f>source!A25/metric!$W$2</f>
        <v>114.29999982626401</v>
      </c>
      <c r="B25">
        <f>source!B25</f>
        <v>2.99</v>
      </c>
      <c r="C25">
        <f>source!C25</f>
        <v>2.86</v>
      </c>
      <c r="D25">
        <f>source!D25</f>
        <v>3.09</v>
      </c>
      <c r="E25">
        <f>source!E25</f>
        <v>3.21</v>
      </c>
      <c r="F25">
        <f>source!F25</f>
        <v>3.78</v>
      </c>
      <c r="L25" s="13">
        <f t="shared" si="1"/>
        <v>3.0533333333333332</v>
      </c>
    </row>
    <row r="26" spans="1:13" x14ac:dyDescent="0.25">
      <c r="A26">
        <f>source!A26/metric!$W$2</f>
        <v>118.87199981931457</v>
      </c>
      <c r="B26">
        <f>source!B26</f>
        <v>2.97</v>
      </c>
      <c r="C26">
        <f>source!C26</f>
        <v>2.88</v>
      </c>
      <c r="D26">
        <f>source!D26</f>
        <v>3.11</v>
      </c>
      <c r="E26">
        <f>source!E26</f>
        <v>3.21</v>
      </c>
      <c r="F26">
        <f>source!F26</f>
        <v>3.78</v>
      </c>
      <c r="L26" s="13">
        <f t="shared" si="1"/>
        <v>3.0666666666666664</v>
      </c>
    </row>
    <row r="27" spans="1:13" x14ac:dyDescent="0.25">
      <c r="A27">
        <f>source!A27/metric!$W$2</f>
        <v>123.44399981236513</v>
      </c>
      <c r="B27">
        <f>source!B27</f>
        <v>2.97</v>
      </c>
      <c r="C27">
        <f>source!C27</f>
        <v>2.9</v>
      </c>
      <c r="D27">
        <f>source!D27</f>
        <v>3.13</v>
      </c>
      <c r="E27">
        <f>source!E27</f>
        <v>3.22</v>
      </c>
      <c r="F27">
        <f>source!F27</f>
        <v>3.78</v>
      </c>
      <c r="L27" s="13">
        <f t="shared" si="1"/>
        <v>3.0833333333333335</v>
      </c>
    </row>
    <row r="28" spans="1:13" x14ac:dyDescent="0.25">
      <c r="A28">
        <f>source!A28/metric!$W$2</f>
        <v>128.0159998054157</v>
      </c>
      <c r="B28">
        <f>source!B28</f>
        <v>2.97</v>
      </c>
      <c r="C28">
        <f>source!C28</f>
        <v>2.91</v>
      </c>
      <c r="D28">
        <f>source!D28</f>
        <v>3.15</v>
      </c>
      <c r="E28">
        <f>source!E28</f>
        <v>3.22</v>
      </c>
      <c r="F28">
        <f>source!F28</f>
        <v>3.8</v>
      </c>
      <c r="L28" s="13">
        <f t="shared" si="1"/>
        <v>3.0933333333333337</v>
      </c>
    </row>
    <row r="29" spans="1:13" x14ac:dyDescent="0.25">
      <c r="A29">
        <f>source!A29/metric!$W$2</f>
        <v>132.58799979846626</v>
      </c>
      <c r="B29">
        <f>source!B29</f>
        <v>2.97</v>
      </c>
      <c r="C29">
        <f>source!C29</f>
        <v>2.93</v>
      </c>
      <c r="D29">
        <f>source!D29</f>
        <v>3.17</v>
      </c>
      <c r="E29">
        <f>source!E29</f>
        <v>3.23</v>
      </c>
      <c r="F29">
        <f>source!F29</f>
        <v>3.8</v>
      </c>
      <c r="L29" s="13">
        <f t="shared" si="1"/>
        <v>3.11</v>
      </c>
    </row>
    <row r="30" spans="1:13" x14ac:dyDescent="0.25">
      <c r="A30">
        <f>source!A30/metric!$W$2</f>
        <v>137.15999979151681</v>
      </c>
      <c r="B30">
        <f>source!B30</f>
        <v>2.99</v>
      </c>
      <c r="C30">
        <f>source!C30</f>
        <v>2.95</v>
      </c>
      <c r="D30">
        <f>source!D30</f>
        <v>3.19</v>
      </c>
      <c r="E30">
        <f>source!E30</f>
        <v>3.25</v>
      </c>
      <c r="F30">
        <f>source!F30</f>
        <v>3.8</v>
      </c>
      <c r="L30" s="13">
        <f t="shared" si="1"/>
        <v>3.1300000000000003</v>
      </c>
    </row>
    <row r="31" spans="1:13" x14ac:dyDescent="0.25">
      <c r="A31">
        <f>source!A31/metric!$W$2</f>
        <v>141.73199978456736</v>
      </c>
      <c r="B31">
        <f>source!B31</f>
        <v>2.99</v>
      </c>
      <c r="C31">
        <f>source!C31</f>
        <v>2.97</v>
      </c>
      <c r="D31">
        <f>source!D31</f>
        <v>3.21</v>
      </c>
      <c r="E31">
        <f>source!E31</f>
        <v>3.26</v>
      </c>
      <c r="F31">
        <f>source!F31</f>
        <v>3.8</v>
      </c>
      <c r="L31" s="13">
        <f t="shared" si="1"/>
        <v>3.1466666666666665</v>
      </c>
    </row>
    <row r="32" spans="1:13" x14ac:dyDescent="0.25">
      <c r="A32">
        <f>source!A32/metric!$W$2</f>
        <v>146.30399977761795</v>
      </c>
      <c r="B32">
        <f>source!B32</f>
        <v>2.99</v>
      </c>
      <c r="C32">
        <f>source!C32</f>
        <v>2.98</v>
      </c>
      <c r="D32">
        <f>source!D32</f>
        <v>3.23</v>
      </c>
      <c r="E32">
        <f>source!E32</f>
        <v>3.28</v>
      </c>
      <c r="F32">
        <f>source!F32</f>
        <v>3.81</v>
      </c>
      <c r="L32" s="13">
        <f t="shared" si="1"/>
        <v>3.1633333333333336</v>
      </c>
    </row>
    <row r="33" spans="1:12" x14ac:dyDescent="0.25">
      <c r="A33">
        <f>source!A33/metric!$W$2</f>
        <v>150.8759997706685</v>
      </c>
      <c r="B33">
        <f>source!B33</f>
        <v>3.01</v>
      </c>
      <c r="C33">
        <f>source!C33</f>
        <v>3</v>
      </c>
      <c r="D33">
        <f>source!D33</f>
        <v>3.25</v>
      </c>
      <c r="E33">
        <f>source!E33</f>
        <v>3.3</v>
      </c>
      <c r="F33">
        <f>source!F33</f>
        <v>3.81</v>
      </c>
      <c r="L33" s="13">
        <f t="shared" si="1"/>
        <v>3.1833333333333336</v>
      </c>
    </row>
    <row r="34" spans="1:12" x14ac:dyDescent="0.25">
      <c r="A34">
        <f>source!A34/metric!$W$2</f>
        <v>155.44799976371905</v>
      </c>
      <c r="B34">
        <f>source!B34</f>
        <v>3.02</v>
      </c>
      <c r="C34">
        <f>source!C34</f>
        <v>3.03</v>
      </c>
      <c r="D34">
        <f>source!D34</f>
        <v>3.27</v>
      </c>
      <c r="E34">
        <f>source!E34</f>
        <v>3.33</v>
      </c>
      <c r="F34">
        <f>source!F34</f>
        <v>3.81</v>
      </c>
      <c r="L34" s="13">
        <f t="shared" si="1"/>
        <v>3.2099999999999995</v>
      </c>
    </row>
    <row r="35" spans="1:12" x14ac:dyDescent="0.25">
      <c r="A35">
        <f>source!A35/metric!$W$2</f>
        <v>160.01999975676961</v>
      </c>
      <c r="B35">
        <f>source!B35</f>
        <v>3.04</v>
      </c>
      <c r="C35">
        <f>source!C35</f>
        <v>3.06</v>
      </c>
      <c r="D35">
        <f>source!D35</f>
        <v>3.29</v>
      </c>
      <c r="E35">
        <f>source!E35</f>
        <v>3.36</v>
      </c>
      <c r="F35">
        <f>source!F35</f>
        <v>3.81</v>
      </c>
      <c r="L35" s="13">
        <f t="shared" si="1"/>
        <v>3.2366666666666664</v>
      </c>
    </row>
    <row r="36" spans="1:12" x14ac:dyDescent="0.25">
      <c r="A36">
        <f>source!A36/metric!$W$2</f>
        <v>164.59199974982019</v>
      </c>
      <c r="B36">
        <f>source!B36</f>
        <v>3.05</v>
      </c>
      <c r="C36">
        <f>source!C36</f>
        <v>3.08</v>
      </c>
      <c r="D36">
        <f>source!D36</f>
        <v>3.31</v>
      </c>
      <c r="E36">
        <f>source!E36</f>
        <v>3.4</v>
      </c>
      <c r="F36">
        <f>source!F36</f>
        <v>3.82</v>
      </c>
      <c r="L36" s="13">
        <f t="shared" si="1"/>
        <v>3.2633333333333336</v>
      </c>
    </row>
    <row r="37" spans="1:12" x14ac:dyDescent="0.25">
      <c r="A37">
        <f>source!A37/metric!$W$2</f>
        <v>169.16399974287074</v>
      </c>
      <c r="B37">
        <f>source!B37</f>
        <v>3.07</v>
      </c>
      <c r="C37">
        <f>source!C37</f>
        <v>3.11</v>
      </c>
      <c r="D37">
        <f>source!D37</f>
        <v>3.34</v>
      </c>
      <c r="E37">
        <f>source!E37</f>
        <v>3.43</v>
      </c>
      <c r="F37">
        <f>source!F37</f>
        <v>3.83</v>
      </c>
      <c r="L37" s="13">
        <f t="shared" si="1"/>
        <v>3.293333333333333</v>
      </c>
    </row>
    <row r="38" spans="1:12" x14ac:dyDescent="0.25">
      <c r="A38">
        <f>source!A38/metric!$W$2</f>
        <v>173.7359997359213</v>
      </c>
      <c r="B38">
        <f>source!B38</f>
        <v>3.09</v>
      </c>
      <c r="C38">
        <f>source!C38</f>
        <v>3.13</v>
      </c>
      <c r="D38">
        <f>source!D38</f>
        <v>3.37</v>
      </c>
      <c r="E38">
        <f>source!E38</f>
        <v>3.47</v>
      </c>
      <c r="F38">
        <f>source!F38</f>
        <v>3.84</v>
      </c>
      <c r="L38" s="13">
        <f t="shared" si="1"/>
        <v>3.3233333333333337</v>
      </c>
    </row>
    <row r="39" spans="1:12" x14ac:dyDescent="0.25">
      <c r="A39">
        <f>source!A39/metric!$W$2</f>
        <v>178.30799972897185</v>
      </c>
      <c r="B39">
        <f>source!B39</f>
        <v>3.11</v>
      </c>
      <c r="C39">
        <f>source!C39</f>
        <v>3.16</v>
      </c>
      <c r="D39">
        <f>source!D39</f>
        <v>3.4</v>
      </c>
      <c r="E39">
        <f>source!E39</f>
        <v>3.51</v>
      </c>
      <c r="F39">
        <f>source!F39</f>
        <v>3.86</v>
      </c>
      <c r="L39" s="13">
        <f t="shared" si="1"/>
        <v>3.3566666666666669</v>
      </c>
    </row>
    <row r="40" spans="1:12" x14ac:dyDescent="0.25">
      <c r="A40">
        <f>source!A40/metric!$W$2</f>
        <v>182.8799997220224</v>
      </c>
      <c r="B40">
        <f>source!B40</f>
        <v>3.12</v>
      </c>
      <c r="C40">
        <f>source!C40</f>
        <v>3.19</v>
      </c>
      <c r="D40">
        <f>source!D40</f>
        <v>3.42</v>
      </c>
      <c r="E40">
        <f>source!E40</f>
        <v>3.55</v>
      </c>
      <c r="F40">
        <f>source!F40</f>
        <v>3.87</v>
      </c>
      <c r="L40" s="13">
        <f t="shared" si="1"/>
        <v>3.3866666666666667</v>
      </c>
    </row>
    <row r="41" spans="1:12" x14ac:dyDescent="0.25">
      <c r="A41">
        <f>source!A41/metric!$W$2</f>
        <v>192.02399970812354</v>
      </c>
      <c r="B41">
        <f>source!B41</f>
        <v>3.14</v>
      </c>
      <c r="C41">
        <f>source!C41</f>
        <v>3.26</v>
      </c>
      <c r="D41">
        <f>source!D41</f>
        <v>3.48</v>
      </c>
      <c r="E41">
        <f>source!E41</f>
        <v>3.62</v>
      </c>
      <c r="F41">
        <f>source!F41</f>
        <v>3.89</v>
      </c>
      <c r="L41" s="13">
        <f t="shared" si="1"/>
        <v>3.4533333333333331</v>
      </c>
    </row>
    <row r="42" spans="1:12" x14ac:dyDescent="0.25">
      <c r="A42">
        <f>source!A42/metric!$W$2</f>
        <v>201.16799969422465</v>
      </c>
      <c r="B42">
        <f>source!B42</f>
        <v>3.17</v>
      </c>
      <c r="C42">
        <f>source!C42</f>
        <v>3.32</v>
      </c>
      <c r="D42">
        <f>source!D42</f>
        <v>3.53</v>
      </c>
      <c r="E42">
        <f>source!E42</f>
        <v>3.7</v>
      </c>
      <c r="F42">
        <f>source!F42</f>
        <v>3.92</v>
      </c>
      <c r="L42" s="13">
        <f t="shared" si="1"/>
        <v>3.5166666666666671</v>
      </c>
    </row>
    <row r="43" spans="1:12" x14ac:dyDescent="0.25">
      <c r="A43">
        <f>source!A43/metric!$W$2</f>
        <v>210.31199968032578</v>
      </c>
      <c r="B43">
        <f>source!B43</f>
        <v>3.21</v>
      </c>
      <c r="C43">
        <f>source!C43</f>
        <v>3.39</v>
      </c>
      <c r="D43">
        <f>source!D43</f>
        <v>3.8</v>
      </c>
      <c r="E43">
        <f>source!E43</f>
        <v>3.77</v>
      </c>
      <c r="F43">
        <f>source!F43</f>
        <v>3.95</v>
      </c>
      <c r="L43" s="13">
        <f t="shared" si="1"/>
        <v>3.6533333333333329</v>
      </c>
    </row>
    <row r="44" spans="1:12" x14ac:dyDescent="0.25">
      <c r="A44">
        <f>source!A44/metric!$W$2</f>
        <v>219.45599966642689</v>
      </c>
      <c r="B44">
        <f>source!B44</f>
        <v>3.25</v>
      </c>
      <c r="C44">
        <f>source!C44</f>
        <v>3.45</v>
      </c>
      <c r="D44">
        <f>source!D44</f>
        <v>3.64</v>
      </c>
      <c r="E44">
        <f>source!E44</f>
        <v>3.84</v>
      </c>
      <c r="F44">
        <f>source!F44</f>
        <v>3.97</v>
      </c>
      <c r="L44" s="13">
        <f t="shared" si="1"/>
        <v>3.6433333333333331</v>
      </c>
    </row>
    <row r="45" spans="1:12" x14ac:dyDescent="0.25">
      <c r="A45">
        <f>source!A45/metric!$W$2</f>
        <v>228.59999965252803</v>
      </c>
      <c r="B45">
        <f>source!B45</f>
        <v>3.35</v>
      </c>
      <c r="C45">
        <f>source!C45</f>
        <v>3.52</v>
      </c>
      <c r="D45">
        <f>source!D45</f>
        <v>3.69</v>
      </c>
      <c r="E45">
        <f>source!E45</f>
        <v>3.88</v>
      </c>
      <c r="F45">
        <f>source!F45</f>
        <v>4</v>
      </c>
      <c r="L45" s="13">
        <f t="shared" si="1"/>
        <v>3.6966666666666668</v>
      </c>
    </row>
    <row r="46" spans="1:12" x14ac:dyDescent="0.25">
      <c r="A46">
        <f>source!A46/metric!$W$2</f>
        <v>237.74399963862913</v>
      </c>
      <c r="B46">
        <f>source!B46</f>
        <v>3.45</v>
      </c>
      <c r="C46">
        <f>source!C46</f>
        <v>3.58</v>
      </c>
      <c r="D46">
        <f>source!D46</f>
        <v>3.74</v>
      </c>
      <c r="E46">
        <f>source!E46</f>
        <v>3.93</v>
      </c>
      <c r="F46">
        <f>source!F46</f>
        <v>4.03</v>
      </c>
      <c r="L46" s="13">
        <f t="shared" si="1"/>
        <v>3.75</v>
      </c>
    </row>
    <row r="47" spans="1:12" x14ac:dyDescent="0.25">
      <c r="A47">
        <f>source!A47/metric!$W$2</f>
        <v>246.88799962473027</v>
      </c>
      <c r="B47">
        <f>source!B47</f>
        <v>3.55</v>
      </c>
      <c r="C47">
        <f>source!C47</f>
        <v>3.63</v>
      </c>
      <c r="D47">
        <f>source!D47</f>
        <v>3.78</v>
      </c>
      <c r="E47">
        <f>source!E47</f>
        <v>3.96</v>
      </c>
      <c r="F47">
        <f>source!F47</f>
        <v>4.07</v>
      </c>
      <c r="L47" s="13">
        <f t="shared" si="1"/>
        <v>3.7900000000000005</v>
      </c>
    </row>
    <row r="48" spans="1:12" x14ac:dyDescent="0.25">
      <c r="A48">
        <f>source!A48/metric!$W$2</f>
        <v>256.03199961083141</v>
      </c>
      <c r="B48">
        <f>source!B48</f>
        <v>3.65</v>
      </c>
      <c r="C48">
        <f>source!C48</f>
        <v>3.69</v>
      </c>
      <c r="D48">
        <f>source!D48</f>
        <v>3.83</v>
      </c>
      <c r="E48">
        <f>source!E48</f>
        <v>4</v>
      </c>
      <c r="F48">
        <f>source!F48</f>
        <v>4.0999999999999996</v>
      </c>
      <c r="L48" s="13">
        <f t="shared" si="1"/>
        <v>3.84</v>
      </c>
    </row>
    <row r="49" spans="1:12" x14ac:dyDescent="0.25">
      <c r="A49">
        <f>source!A49/metric!$W$2</f>
        <v>265.17599959693251</v>
      </c>
      <c r="B49">
        <f>source!B49</f>
        <v>3.68</v>
      </c>
      <c r="C49">
        <f>source!C49</f>
        <v>3.74</v>
      </c>
      <c r="D49">
        <f>source!D49</f>
        <v>3.87</v>
      </c>
      <c r="E49">
        <f>source!E49</f>
        <v>4.0199999999999996</v>
      </c>
      <c r="F49">
        <f>source!F49</f>
        <v>4.1500000000000004</v>
      </c>
      <c r="L49" s="13">
        <f t="shared" si="1"/>
        <v>3.8766666666666665</v>
      </c>
    </row>
    <row r="50" spans="1:12" x14ac:dyDescent="0.25">
      <c r="A50">
        <f>source!A50/metric!$W$2</f>
        <v>274.31999958303362</v>
      </c>
      <c r="B50">
        <f>source!B50</f>
        <v>3.71</v>
      </c>
      <c r="C50">
        <f>source!C50</f>
        <v>3.78</v>
      </c>
      <c r="D50">
        <f>source!D50</f>
        <v>3.9</v>
      </c>
      <c r="E50">
        <f>source!E50</f>
        <v>4.04</v>
      </c>
      <c r="F50">
        <f>source!F50</f>
        <v>4.2</v>
      </c>
      <c r="L50" s="13">
        <f t="shared" si="1"/>
        <v>3.9066666666666663</v>
      </c>
    </row>
    <row r="51" spans="1:12" x14ac:dyDescent="0.25">
      <c r="A51">
        <f>source!A51/metric!$W$2</f>
        <v>292.60799955523589</v>
      </c>
      <c r="B51">
        <f>source!B51</f>
        <v>3.79</v>
      </c>
      <c r="C51">
        <f>source!C51</f>
        <v>3.84</v>
      </c>
      <c r="D51">
        <f>source!D51</f>
        <v>3.95</v>
      </c>
      <c r="E51">
        <f>source!E51</f>
        <v>4.12</v>
      </c>
      <c r="F51">
        <f>source!F51</f>
        <v>4.3099999999999996</v>
      </c>
      <c r="L51" s="13">
        <f t="shared" si="1"/>
        <v>3.97</v>
      </c>
    </row>
    <row r="52" spans="1:12" x14ac:dyDescent="0.25">
      <c r="A52">
        <f>source!A52/metric!$W$2</f>
        <v>310.89599952743811</v>
      </c>
      <c r="B52">
        <f>source!B52</f>
        <v>3.86</v>
      </c>
      <c r="C52">
        <f>source!C52</f>
        <v>3.88</v>
      </c>
      <c r="D52">
        <f>source!D52</f>
        <v>4.0199999999999996</v>
      </c>
      <c r="E52">
        <f>source!E52</f>
        <v>4.26</v>
      </c>
      <c r="F52">
        <f>source!F52</f>
        <v>4.4400000000000004</v>
      </c>
      <c r="L52" s="13">
        <f t="shared" si="1"/>
        <v>4.0533333333333337</v>
      </c>
    </row>
    <row r="53" spans="1:12" x14ac:dyDescent="0.25">
      <c r="A53">
        <f>source!A53/metric!$W$2</f>
        <v>329.18399949964038</v>
      </c>
      <c r="B53">
        <f>source!B53</f>
        <v>3.92</v>
      </c>
      <c r="C53">
        <f>source!C53</f>
        <v>3.95</v>
      </c>
      <c r="D53">
        <f>source!D53</f>
        <v>4.1100000000000003</v>
      </c>
      <c r="E53">
        <f>source!E53</f>
        <v>4.41</v>
      </c>
      <c r="F53">
        <f>source!F53</f>
        <v>4.5599999999999996</v>
      </c>
      <c r="L53" s="13">
        <f t="shared" si="1"/>
        <v>4.1566666666666672</v>
      </c>
    </row>
    <row r="54" spans="1:12" x14ac:dyDescent="0.25">
      <c r="A54">
        <f>source!A54/metric!$W$2</f>
        <v>347.47199947184259</v>
      </c>
      <c r="B54">
        <f>source!B54</f>
        <v>3.96</v>
      </c>
      <c r="C54">
        <f>source!C54</f>
        <v>4.03</v>
      </c>
      <c r="D54">
        <f>source!D54</f>
        <v>4.21</v>
      </c>
      <c r="E54">
        <f>source!E54</f>
        <v>4.55</v>
      </c>
      <c r="F54">
        <f>source!F54</f>
        <v>4.66</v>
      </c>
      <c r="L54" s="13">
        <f t="shared" si="1"/>
        <v>4.2633333333333328</v>
      </c>
    </row>
    <row r="55" spans="1:12" x14ac:dyDescent="0.25">
      <c r="A55">
        <f>source!A55/metric!$W$2</f>
        <v>365.75999944404481</v>
      </c>
      <c r="B55">
        <f>source!B55</f>
        <v>3.99</v>
      </c>
      <c r="C55">
        <f>source!C55</f>
        <v>4.1100000000000003</v>
      </c>
      <c r="D55">
        <f>source!D55</f>
        <v>4.3</v>
      </c>
      <c r="E55">
        <f>source!E55</f>
        <v>4.6900000000000004</v>
      </c>
      <c r="F55">
        <f>source!F55</f>
        <v>4.75</v>
      </c>
      <c r="L55" s="13">
        <f t="shared" si="1"/>
        <v>4.3666666666666671</v>
      </c>
    </row>
    <row r="56" spans="1:12" x14ac:dyDescent="0.25">
      <c r="A56">
        <f>source!A56/metric!$W$2</f>
        <v>384.04799941624708</v>
      </c>
      <c r="B56">
        <f>source!B56</f>
        <v>4.0199999999999996</v>
      </c>
      <c r="C56">
        <f>source!C56</f>
        <v>4.1500000000000004</v>
      </c>
      <c r="D56">
        <f>source!D56</f>
        <v>4.34</v>
      </c>
      <c r="E56">
        <f>source!E56</f>
        <v>4.7300000000000004</v>
      </c>
      <c r="F56">
        <f>source!F56</f>
        <v>4.79</v>
      </c>
      <c r="L56" s="13">
        <f t="shared" si="1"/>
        <v>4.4066666666666672</v>
      </c>
    </row>
    <row r="57" spans="1:12" x14ac:dyDescent="0.25">
      <c r="A57">
        <f>source!A57/metric!$W$2</f>
        <v>402.3359993884493</v>
      </c>
      <c r="B57">
        <f>source!B57</f>
        <v>4.08</v>
      </c>
      <c r="C57">
        <f>source!C57</f>
        <v>4.2</v>
      </c>
      <c r="D57">
        <f>source!D57</f>
        <v>4.3899999999999997</v>
      </c>
      <c r="E57">
        <f>source!E57</f>
        <v>4.78</v>
      </c>
      <c r="F57">
        <f>source!F57</f>
        <v>4.84</v>
      </c>
      <c r="L57" s="13">
        <f t="shared" si="1"/>
        <v>4.456666666666667</v>
      </c>
    </row>
    <row r="58" spans="1:12" x14ac:dyDescent="0.25">
      <c r="A58">
        <f>source!A58/metric!$W$2</f>
        <v>420.62399936065157</v>
      </c>
      <c r="B58">
        <f>source!B58</f>
        <v>4.17</v>
      </c>
      <c r="C58">
        <f>source!C58</f>
        <v>4.29</v>
      </c>
      <c r="D58">
        <f>source!D58</f>
        <v>4.4800000000000004</v>
      </c>
      <c r="E58">
        <f>source!E58</f>
        <v>4.87</v>
      </c>
      <c r="F58">
        <f>source!F58</f>
        <v>4.93</v>
      </c>
      <c r="L58" s="13">
        <f t="shared" si="1"/>
        <v>4.5466666666666669</v>
      </c>
    </row>
    <row r="59" spans="1:12" x14ac:dyDescent="0.25">
      <c r="A59">
        <f>source!A59/metric!$W$2</f>
        <v>438.91199933285378</v>
      </c>
      <c r="B59">
        <f>source!B59</f>
        <v>4.28</v>
      </c>
      <c r="C59">
        <f>source!C59</f>
        <v>4.4000000000000004</v>
      </c>
      <c r="D59">
        <f>source!D59</f>
        <v>4.59</v>
      </c>
      <c r="E59">
        <f>source!E59</f>
        <v>4.9800000000000004</v>
      </c>
      <c r="F59">
        <f>source!F59</f>
        <v>5.04</v>
      </c>
      <c r="L59" s="13">
        <f t="shared" si="1"/>
        <v>4.6566666666666672</v>
      </c>
    </row>
    <row r="60" spans="1:12" x14ac:dyDescent="0.25">
      <c r="A60">
        <f>source!A60/metric!$W$2</f>
        <v>457.19999930505605</v>
      </c>
      <c r="B60">
        <f>source!B60</f>
        <v>4.41</v>
      </c>
      <c r="C60">
        <f>source!C60</f>
        <v>4.53</v>
      </c>
      <c r="D60">
        <f>source!D60</f>
        <v>4.72</v>
      </c>
      <c r="E60">
        <f>source!E60</f>
        <v>5.1100000000000003</v>
      </c>
      <c r="F60">
        <f>source!F60</f>
        <v>5.17</v>
      </c>
      <c r="L60" s="13">
        <f t="shared" si="1"/>
        <v>4.7866666666666662</v>
      </c>
    </row>
    <row r="61" spans="1:12" x14ac:dyDescent="0.25">
      <c r="A61">
        <f>source!A61/metric!$W$2</f>
        <v>475.48799927725827</v>
      </c>
      <c r="B61">
        <f>source!B61</f>
        <v>4.54</v>
      </c>
      <c r="C61">
        <f>source!C61</f>
        <v>4.8499999999999996</v>
      </c>
      <c r="D61">
        <f>source!D61</f>
        <v>4.8499999999999996</v>
      </c>
      <c r="E61">
        <f>source!E61</f>
        <v>5.24</v>
      </c>
      <c r="F61">
        <f>source!F61</f>
        <v>5.3</v>
      </c>
      <c r="L61" s="13">
        <f t="shared" si="1"/>
        <v>4.9799999999999995</v>
      </c>
    </row>
    <row r="62" spans="1:12" x14ac:dyDescent="0.25">
      <c r="A62">
        <f>source!A62/metric!$W$2</f>
        <v>493.77599924946054</v>
      </c>
      <c r="B62">
        <f>source!B62</f>
        <v>4.6500000000000004</v>
      </c>
      <c r="C62">
        <f>source!C62</f>
        <v>4.97</v>
      </c>
      <c r="D62">
        <f>source!D62</f>
        <v>4.97</v>
      </c>
      <c r="E62">
        <f>source!E62</f>
        <v>5.36</v>
      </c>
      <c r="F62">
        <f>source!F62</f>
        <v>5.42</v>
      </c>
      <c r="L62" s="13">
        <f t="shared" si="1"/>
        <v>5.1000000000000005</v>
      </c>
    </row>
    <row r="63" spans="1:12" x14ac:dyDescent="0.25">
      <c r="A63">
        <f>source!A63/metric!$W$2</f>
        <v>512.06399922166281</v>
      </c>
      <c r="B63">
        <f>source!B63</f>
        <v>4.74</v>
      </c>
      <c r="C63">
        <f>source!C63</f>
        <v>5.05</v>
      </c>
      <c r="D63">
        <f>source!D63</f>
        <v>5.05</v>
      </c>
      <c r="E63">
        <f>source!E63</f>
        <v>5.44</v>
      </c>
      <c r="F63">
        <f>source!F63</f>
        <v>5.5</v>
      </c>
      <c r="L63" s="13">
        <f t="shared" si="1"/>
        <v>5.18</v>
      </c>
    </row>
    <row r="64" spans="1:12" x14ac:dyDescent="0.25">
      <c r="A64">
        <f>source!A64/metric!$W$2</f>
        <v>530.35199919386503</v>
      </c>
      <c r="B64">
        <f>source!B64</f>
        <v>4.79</v>
      </c>
      <c r="C64">
        <f>source!C64</f>
        <v>5.0999999999999996</v>
      </c>
      <c r="D64">
        <f>source!D64</f>
        <v>5.0999999999999996</v>
      </c>
      <c r="E64">
        <f>source!E64</f>
        <v>5.49</v>
      </c>
      <c r="F64">
        <f>source!F64</f>
        <v>5.55</v>
      </c>
      <c r="L64" s="13">
        <f t="shared" si="1"/>
        <v>5.2299999999999995</v>
      </c>
    </row>
    <row r="65" spans="1:12" x14ac:dyDescent="0.25">
      <c r="A65">
        <f>source!A65/metric!$W$2</f>
        <v>548.63999916606724</v>
      </c>
      <c r="B65">
        <f>source!B65</f>
        <v>4.82</v>
      </c>
      <c r="C65">
        <f>source!C65</f>
        <v>5.13</v>
      </c>
      <c r="D65">
        <f>source!D65</f>
        <v>5.13</v>
      </c>
      <c r="E65">
        <f>source!E65</f>
        <v>5.52</v>
      </c>
      <c r="F65">
        <f>source!F65</f>
        <v>5.58</v>
      </c>
      <c r="L65" s="13">
        <f t="shared" si="1"/>
        <v>5.26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087ED-886B-44FE-8790-08DCEB73A4B1}">
  <dimension ref="A1:H47"/>
  <sheetViews>
    <sheetView workbookViewId="0">
      <selection sqref="A1:H47"/>
    </sheetView>
  </sheetViews>
  <sheetFormatPr defaultRowHeight="15" x14ac:dyDescent="0.25"/>
  <cols>
    <col min="1" max="1" width="20.7109375" bestFit="1" customWidth="1"/>
    <col min="2" max="2" width="15" bestFit="1" customWidth="1"/>
    <col min="3" max="3" width="26.140625" bestFit="1" customWidth="1"/>
    <col min="4" max="4" width="15" bestFit="1" customWidth="1"/>
    <col min="5" max="5" width="23.28515625" bestFit="1" customWidth="1"/>
    <col min="6" max="6" width="14.5703125" customWidth="1"/>
    <col min="7" max="7" width="19.42578125" bestFit="1" customWidth="1"/>
    <col min="8" max="8" width="15" bestFit="1" customWidth="1"/>
  </cols>
  <sheetData>
    <row r="1" spans="1:8" ht="15.75" thickBot="1" x14ac:dyDescent="0.3">
      <c r="A1" s="18" t="s">
        <v>16</v>
      </c>
      <c r="B1" s="19" t="s">
        <v>15</v>
      </c>
      <c r="C1" s="18" t="s">
        <v>17</v>
      </c>
      <c r="D1" s="19" t="s">
        <v>15</v>
      </c>
      <c r="E1" s="18" t="s">
        <v>18</v>
      </c>
      <c r="F1" s="19" t="s">
        <v>15</v>
      </c>
      <c r="G1" s="18" t="s">
        <v>19</v>
      </c>
      <c r="H1" s="19" t="s">
        <v>15</v>
      </c>
    </row>
    <row r="2" spans="1:8" x14ac:dyDescent="0.25">
      <c r="A2" s="14">
        <f>metric!A20</f>
        <v>91.439999861011202</v>
      </c>
      <c r="B2" s="15">
        <f>metric!B20</f>
        <v>2.92</v>
      </c>
      <c r="C2" s="14">
        <f>metric!A20</f>
        <v>91.439999861011202</v>
      </c>
      <c r="D2" s="15">
        <f>metric!L20</f>
        <v>3.0166666666666671</v>
      </c>
      <c r="E2" s="14">
        <f>metric!A2</f>
        <v>9.1439999861011216</v>
      </c>
      <c r="F2" s="15">
        <f>metric!M2</f>
        <v>2.3666666666666667</v>
      </c>
      <c r="G2" s="14">
        <f>metric!I2</f>
        <v>0.304799999536704</v>
      </c>
      <c r="H2" s="15">
        <f>metric!J2</f>
        <v>1</v>
      </c>
    </row>
    <row r="3" spans="1:8" x14ac:dyDescent="0.25">
      <c r="A3" s="14">
        <f>metric!A21</f>
        <v>96.01199985406177</v>
      </c>
      <c r="B3" s="15">
        <f>metric!B21</f>
        <v>2.93</v>
      </c>
      <c r="C3" s="14">
        <f>metric!A21</f>
        <v>96.01199985406177</v>
      </c>
      <c r="D3" s="15">
        <f>metric!L21</f>
        <v>3.0233333333333334</v>
      </c>
      <c r="E3" s="14">
        <f>metric!A3</f>
        <v>13.715999979151681</v>
      </c>
      <c r="F3" s="15">
        <f>metric!M3</f>
        <v>2.436666666666667</v>
      </c>
      <c r="G3" s="14">
        <f>metric!I3</f>
        <v>0.91439999861011201</v>
      </c>
      <c r="H3" s="15">
        <f>metric!J3</f>
        <v>1.04</v>
      </c>
    </row>
    <row r="4" spans="1:8" x14ac:dyDescent="0.25">
      <c r="A4" s="14">
        <f>metric!A22</f>
        <v>100.58399984711232</v>
      </c>
      <c r="B4" s="15">
        <f>metric!B22</f>
        <v>2.95</v>
      </c>
      <c r="C4" s="14">
        <f>metric!A22</f>
        <v>100.58399984711232</v>
      </c>
      <c r="D4" s="15">
        <f>metric!L22</f>
        <v>3.03</v>
      </c>
      <c r="E4" s="14">
        <f>metric!A4</f>
        <v>18.287999972202243</v>
      </c>
      <c r="F4" s="15">
        <f>metric!M4</f>
        <v>2.5066666666666664</v>
      </c>
      <c r="G4" s="14">
        <f>metric!I4</f>
        <v>1.219199998146816</v>
      </c>
      <c r="H4" s="15">
        <f>metric!J4</f>
        <v>1.1299999999999999</v>
      </c>
    </row>
    <row r="5" spans="1:8" x14ac:dyDescent="0.25">
      <c r="A5" s="14">
        <f>metric!A23</f>
        <v>105.15599984016289</v>
      </c>
      <c r="B5" s="15">
        <f>metric!B23</f>
        <v>2.97</v>
      </c>
      <c r="C5" s="14">
        <f>metric!A23</f>
        <v>105.15599984016289</v>
      </c>
      <c r="D5" s="15">
        <f>metric!L23</f>
        <v>3.0366666666666666</v>
      </c>
      <c r="E5" s="14">
        <f>metric!A5</f>
        <v>22.859999965252801</v>
      </c>
      <c r="F5" s="15">
        <f>metric!M5</f>
        <v>2.56</v>
      </c>
      <c r="G5" s="14">
        <f>metric!I5</f>
        <v>1.5239999976835199</v>
      </c>
      <c r="H5" s="15">
        <f>metric!J5</f>
        <v>1.23</v>
      </c>
    </row>
    <row r="6" spans="1:8" x14ac:dyDescent="0.25">
      <c r="A6" s="14">
        <f>metric!A24</f>
        <v>109.72799983321345</v>
      </c>
      <c r="B6" s="15">
        <f>metric!B24</f>
        <v>2.99</v>
      </c>
      <c r="C6" s="14">
        <f>metric!A24</f>
        <v>109.72799983321345</v>
      </c>
      <c r="D6" s="15">
        <f>metric!L24</f>
        <v>3.0466666666666669</v>
      </c>
      <c r="E6" s="14">
        <f>metric!A6</f>
        <v>27.431999958303361</v>
      </c>
      <c r="F6" s="15">
        <f>metric!M6</f>
        <v>2.6199999999999997</v>
      </c>
      <c r="G6" s="14">
        <f>metric!I6</f>
        <v>1.828799997220224</v>
      </c>
      <c r="H6" s="15">
        <f>metric!J6</f>
        <v>1.34</v>
      </c>
    </row>
    <row r="7" spans="1:8" x14ac:dyDescent="0.25">
      <c r="A7" s="14">
        <f>metric!A25</f>
        <v>114.29999982626401</v>
      </c>
      <c r="B7" s="15">
        <f>metric!B25</f>
        <v>2.99</v>
      </c>
      <c r="C7" s="14">
        <f>metric!A25</f>
        <v>114.29999982626401</v>
      </c>
      <c r="D7" s="15">
        <f>metric!L25</f>
        <v>3.0533333333333332</v>
      </c>
      <c r="E7" s="14">
        <f>metric!A7</f>
        <v>32.003999951353926</v>
      </c>
      <c r="F7" s="15">
        <f>metric!M7</f>
        <v>2.6833333333333336</v>
      </c>
      <c r="G7" s="14">
        <f>metric!I7</f>
        <v>2.1335999967569279</v>
      </c>
      <c r="H7" s="15">
        <f>metric!J7</f>
        <v>1.42</v>
      </c>
    </row>
    <row r="8" spans="1:8" x14ac:dyDescent="0.25">
      <c r="A8" s="14">
        <f>metric!A26</f>
        <v>118.87199981931457</v>
      </c>
      <c r="B8" s="15">
        <f>metric!B26</f>
        <v>2.97</v>
      </c>
      <c r="C8" s="14">
        <f>metric!A26</f>
        <v>118.87199981931457</v>
      </c>
      <c r="D8" s="15">
        <f>metric!L26</f>
        <v>3.0666666666666664</v>
      </c>
      <c r="E8" s="14">
        <f>metric!A8</f>
        <v>36.575999944404487</v>
      </c>
      <c r="F8" s="15">
        <f>metric!M8</f>
        <v>2.7333333333333329</v>
      </c>
      <c r="G8" s="14">
        <f>metric!I8</f>
        <v>2.438399996293632</v>
      </c>
      <c r="H8" s="15">
        <f>metric!J8</f>
        <v>1.5</v>
      </c>
    </row>
    <row r="9" spans="1:8" x14ac:dyDescent="0.25">
      <c r="A9" s="14">
        <f>metric!A27</f>
        <v>123.44399981236513</v>
      </c>
      <c r="B9" s="15">
        <f>metric!B27</f>
        <v>2.97</v>
      </c>
      <c r="C9" s="14">
        <f>metric!A27</f>
        <v>123.44399981236513</v>
      </c>
      <c r="D9" s="15">
        <f>metric!L27</f>
        <v>3.0833333333333335</v>
      </c>
      <c r="E9" s="14">
        <f>metric!A9</f>
        <v>41.147999937455047</v>
      </c>
      <c r="F9" s="15">
        <f>metric!M9</f>
        <v>2.78</v>
      </c>
      <c r="G9" s="14">
        <f>metric!I9</f>
        <v>2.7431999958303357</v>
      </c>
      <c r="H9" s="15">
        <f>metric!J9</f>
        <v>1.56</v>
      </c>
    </row>
    <row r="10" spans="1:8" x14ac:dyDescent="0.25">
      <c r="A10" s="14">
        <f>metric!A28</f>
        <v>128.0159998054157</v>
      </c>
      <c r="B10" s="15">
        <f>metric!B28</f>
        <v>2.97</v>
      </c>
      <c r="C10" s="14">
        <f>metric!A28</f>
        <v>128.0159998054157</v>
      </c>
      <c r="D10" s="15">
        <f>metric!L28</f>
        <v>3.0933333333333337</v>
      </c>
      <c r="E10" s="14">
        <f>metric!A10</f>
        <v>45.719999930505601</v>
      </c>
      <c r="F10" s="15">
        <f>metric!M10</f>
        <v>2.8266666666666667</v>
      </c>
      <c r="G10" s="14">
        <f>metric!I10</f>
        <v>3.0479999953670398</v>
      </c>
      <c r="H10" s="15">
        <f>metric!J10</f>
        <v>1.61</v>
      </c>
    </row>
    <row r="11" spans="1:8" x14ac:dyDescent="0.25">
      <c r="A11" s="14">
        <f>metric!A29</f>
        <v>132.58799979846626</v>
      </c>
      <c r="B11" s="15">
        <f>metric!B29</f>
        <v>2.97</v>
      </c>
      <c r="C11" s="14">
        <f>metric!A29</f>
        <v>132.58799979846626</v>
      </c>
      <c r="D11" s="15">
        <f>metric!L29</f>
        <v>3.11</v>
      </c>
      <c r="E11" s="14">
        <f>metric!A11</f>
        <v>50.291999923556162</v>
      </c>
      <c r="F11" s="15">
        <f>metric!M11</f>
        <v>2.8733333333333331</v>
      </c>
      <c r="G11" s="14">
        <f>metric!I11</f>
        <v>4.5719999930505599</v>
      </c>
      <c r="H11" s="15">
        <f>metric!J11</f>
        <v>1.78</v>
      </c>
    </row>
    <row r="12" spans="1:8" x14ac:dyDescent="0.25">
      <c r="A12" s="14">
        <f>metric!A30</f>
        <v>137.15999979151681</v>
      </c>
      <c r="B12" s="15">
        <f>metric!B30</f>
        <v>2.99</v>
      </c>
      <c r="C12" s="14">
        <f>metric!A30</f>
        <v>137.15999979151681</v>
      </c>
      <c r="D12" s="15">
        <f>metric!L30</f>
        <v>3.1300000000000003</v>
      </c>
      <c r="E12" s="14">
        <f>metric!A12</f>
        <v>54.863999916606723</v>
      </c>
      <c r="F12" s="15">
        <f>metric!M12</f>
        <v>2.92</v>
      </c>
      <c r="G12" s="14">
        <f>metric!I12</f>
        <v>6.0959999907340796</v>
      </c>
      <c r="H12" s="15">
        <f>metric!J12</f>
        <v>1.87</v>
      </c>
    </row>
    <row r="13" spans="1:8" x14ac:dyDescent="0.25">
      <c r="A13" s="14">
        <f>metric!A31</f>
        <v>141.73199978456736</v>
      </c>
      <c r="B13" s="15">
        <f>metric!B31</f>
        <v>2.99</v>
      </c>
      <c r="C13" s="14">
        <f>metric!A31</f>
        <v>141.73199978456736</v>
      </c>
      <c r="D13" s="15">
        <f>metric!L31</f>
        <v>3.1466666666666665</v>
      </c>
      <c r="E13" s="14">
        <f>metric!A13</f>
        <v>59.435999909657284</v>
      </c>
      <c r="F13" s="15">
        <f>metric!M13</f>
        <v>2.936666666666667</v>
      </c>
      <c r="G13" s="14">
        <f>metric!I13</f>
        <v>9.1439999861011199</v>
      </c>
      <c r="H13" s="15">
        <f>metric!J13</f>
        <v>1.98</v>
      </c>
    </row>
    <row r="14" spans="1:8" x14ac:dyDescent="0.25">
      <c r="A14" s="14">
        <f>metric!A32</f>
        <v>146.30399977761795</v>
      </c>
      <c r="B14" s="15">
        <f>metric!B32</f>
        <v>2.99</v>
      </c>
      <c r="C14" s="14">
        <f>metric!A32</f>
        <v>146.30399977761795</v>
      </c>
      <c r="D14" s="15">
        <f>metric!L32</f>
        <v>3.1633333333333336</v>
      </c>
      <c r="E14" s="14">
        <f>metric!A14</f>
        <v>64.007999902707851</v>
      </c>
      <c r="F14" s="15">
        <f>metric!M14</f>
        <v>2.9499999999999997</v>
      </c>
      <c r="G14" s="14">
        <f>metric!I14</f>
        <v>12.191999981468159</v>
      </c>
      <c r="H14" s="15">
        <f>metric!J14</f>
        <v>2.06</v>
      </c>
    </row>
    <row r="15" spans="1:8" x14ac:dyDescent="0.25">
      <c r="A15" s="14">
        <f>metric!A33</f>
        <v>150.8759997706685</v>
      </c>
      <c r="B15" s="15">
        <f>metric!B33</f>
        <v>3.01</v>
      </c>
      <c r="C15" s="14">
        <f>metric!A33</f>
        <v>150.8759997706685</v>
      </c>
      <c r="D15" s="15">
        <f>metric!L33</f>
        <v>3.1833333333333336</v>
      </c>
      <c r="E15" s="14">
        <f>metric!A15</f>
        <v>68.579999895758405</v>
      </c>
      <c r="F15" s="15">
        <f>metric!M15</f>
        <v>2.97</v>
      </c>
      <c r="G15" s="14">
        <f>metric!I15</f>
        <v>15.239999976835199</v>
      </c>
      <c r="H15" s="15">
        <f>metric!J15</f>
        <v>2.14</v>
      </c>
    </row>
    <row r="16" spans="1:8" x14ac:dyDescent="0.25">
      <c r="A16" s="14">
        <f>metric!A34</f>
        <v>155.44799976371905</v>
      </c>
      <c r="B16" s="15">
        <f>metric!B34</f>
        <v>3.02</v>
      </c>
      <c r="C16" s="14">
        <f>metric!A34</f>
        <v>155.44799976371905</v>
      </c>
      <c r="D16" s="15">
        <f>metric!L34</f>
        <v>3.2099999999999995</v>
      </c>
      <c r="E16" s="14">
        <f>metric!A16</f>
        <v>73.151999888808973</v>
      </c>
      <c r="F16" s="15">
        <f>metric!M16</f>
        <v>2.9833333333333329</v>
      </c>
      <c r="G16" s="14">
        <f>metric!I16</f>
        <v>18.28799997220224</v>
      </c>
      <c r="H16" s="15">
        <f>metric!J16</f>
        <v>2.21</v>
      </c>
    </row>
    <row r="17" spans="1:8" ht="15.75" thickBot="1" x14ac:dyDescent="0.3">
      <c r="A17" s="14">
        <f>metric!A35</f>
        <v>160.01999975676961</v>
      </c>
      <c r="B17" s="15">
        <f>metric!B35</f>
        <v>3.04</v>
      </c>
      <c r="C17" s="14">
        <f>metric!A35</f>
        <v>160.01999975676961</v>
      </c>
      <c r="D17" s="15">
        <f>metric!L35</f>
        <v>3.2366666666666664</v>
      </c>
      <c r="E17" s="14">
        <f>metric!A17</f>
        <v>77.723999881859527</v>
      </c>
      <c r="F17" s="15">
        <f>metric!M17</f>
        <v>2.9933333333333336</v>
      </c>
      <c r="G17" s="16">
        <f>metric!I17</f>
        <v>27.431999958303358</v>
      </c>
      <c r="H17" s="17">
        <f>metric!J17</f>
        <v>2.4</v>
      </c>
    </row>
    <row r="18" spans="1:8" x14ac:dyDescent="0.25">
      <c r="A18" s="14">
        <f>metric!A36</f>
        <v>164.59199974982019</v>
      </c>
      <c r="B18" s="15">
        <f>metric!B36</f>
        <v>3.05</v>
      </c>
      <c r="C18" s="14">
        <f>metric!A36</f>
        <v>164.59199974982019</v>
      </c>
      <c r="D18" s="15">
        <f>metric!L36</f>
        <v>3.2633333333333336</v>
      </c>
      <c r="E18" s="14">
        <f>metric!A18</f>
        <v>82.295999874910095</v>
      </c>
      <c r="F18" s="15">
        <f>metric!M18</f>
        <v>3</v>
      </c>
    </row>
    <row r="19" spans="1:8" ht="15.75" thickBot="1" x14ac:dyDescent="0.3">
      <c r="A19" s="14">
        <f>metric!A37</f>
        <v>169.16399974287074</v>
      </c>
      <c r="B19" s="15">
        <f>metric!B37</f>
        <v>3.07</v>
      </c>
      <c r="C19" s="14">
        <f>metric!A37</f>
        <v>169.16399974287074</v>
      </c>
      <c r="D19" s="15">
        <f>metric!L37</f>
        <v>3.293333333333333</v>
      </c>
      <c r="E19" s="16">
        <f>metric!A19</f>
        <v>86.867999867960648</v>
      </c>
      <c r="F19" s="17">
        <f>metric!M19</f>
        <v>3.01</v>
      </c>
    </row>
    <row r="20" spans="1:8" x14ac:dyDescent="0.25">
      <c r="A20" s="14">
        <f>metric!A38</f>
        <v>173.7359997359213</v>
      </c>
      <c r="B20" s="15">
        <f>metric!B38</f>
        <v>3.09</v>
      </c>
      <c r="C20" s="14">
        <f>metric!A38</f>
        <v>173.7359997359213</v>
      </c>
      <c r="D20" s="15">
        <f>metric!L38</f>
        <v>3.3233333333333337</v>
      </c>
    </row>
    <row r="21" spans="1:8" x14ac:dyDescent="0.25">
      <c r="A21" s="14">
        <f>metric!A39</f>
        <v>178.30799972897185</v>
      </c>
      <c r="B21" s="15">
        <f>metric!B39</f>
        <v>3.11</v>
      </c>
      <c r="C21" s="14">
        <f>metric!A39</f>
        <v>178.30799972897185</v>
      </c>
      <c r="D21" s="15">
        <f>metric!L39</f>
        <v>3.3566666666666669</v>
      </c>
    </row>
    <row r="22" spans="1:8" x14ac:dyDescent="0.25">
      <c r="A22" s="14">
        <f>metric!A40</f>
        <v>182.8799997220224</v>
      </c>
      <c r="B22" s="15">
        <f>metric!B40</f>
        <v>3.12</v>
      </c>
      <c r="C22" s="14">
        <f>metric!A40</f>
        <v>182.8799997220224</v>
      </c>
      <c r="D22" s="15">
        <f>metric!L40</f>
        <v>3.3866666666666667</v>
      </c>
    </row>
    <row r="23" spans="1:8" x14ac:dyDescent="0.25">
      <c r="A23" s="14">
        <f>metric!A41</f>
        <v>192.02399970812354</v>
      </c>
      <c r="B23" s="15">
        <f>metric!B41</f>
        <v>3.14</v>
      </c>
      <c r="C23" s="14">
        <f>metric!A41</f>
        <v>192.02399970812354</v>
      </c>
      <c r="D23" s="15">
        <f>metric!L41</f>
        <v>3.4533333333333331</v>
      </c>
    </row>
    <row r="24" spans="1:8" x14ac:dyDescent="0.25">
      <c r="A24" s="14">
        <f>metric!A42</f>
        <v>201.16799969422465</v>
      </c>
      <c r="B24" s="15">
        <f>metric!B42</f>
        <v>3.17</v>
      </c>
      <c r="C24" s="14">
        <f>metric!A42</f>
        <v>201.16799969422465</v>
      </c>
      <c r="D24" s="15">
        <f>metric!L42</f>
        <v>3.5166666666666671</v>
      </c>
    </row>
    <row r="25" spans="1:8" x14ac:dyDescent="0.25">
      <c r="A25" s="14">
        <f>metric!A43</f>
        <v>210.31199968032578</v>
      </c>
      <c r="B25" s="15">
        <f>metric!B43</f>
        <v>3.21</v>
      </c>
      <c r="C25" s="14">
        <f>metric!A43</f>
        <v>210.31199968032578</v>
      </c>
      <c r="D25" s="15">
        <f>metric!L43</f>
        <v>3.6533333333333329</v>
      </c>
    </row>
    <row r="26" spans="1:8" x14ac:dyDescent="0.25">
      <c r="A26" s="14">
        <f>metric!A44</f>
        <v>219.45599966642689</v>
      </c>
      <c r="B26" s="15">
        <f>metric!B44</f>
        <v>3.25</v>
      </c>
      <c r="C26" s="14">
        <f>metric!A44</f>
        <v>219.45599966642689</v>
      </c>
      <c r="D26" s="15">
        <f>metric!L44</f>
        <v>3.6433333333333331</v>
      </c>
    </row>
    <row r="27" spans="1:8" x14ac:dyDescent="0.25">
      <c r="A27" s="14">
        <f>metric!A45</f>
        <v>228.59999965252803</v>
      </c>
      <c r="B27" s="15">
        <f>metric!B45</f>
        <v>3.35</v>
      </c>
      <c r="C27" s="14">
        <f>metric!A45</f>
        <v>228.59999965252803</v>
      </c>
      <c r="D27" s="15">
        <f>metric!L45</f>
        <v>3.6966666666666668</v>
      </c>
    </row>
    <row r="28" spans="1:8" x14ac:dyDescent="0.25">
      <c r="A28" s="14">
        <f>metric!A46</f>
        <v>237.74399963862913</v>
      </c>
      <c r="B28" s="15">
        <f>metric!B46</f>
        <v>3.45</v>
      </c>
      <c r="C28" s="14">
        <f>metric!A46</f>
        <v>237.74399963862913</v>
      </c>
      <c r="D28" s="15">
        <f>metric!L46</f>
        <v>3.75</v>
      </c>
    </row>
    <row r="29" spans="1:8" x14ac:dyDescent="0.25">
      <c r="A29" s="14">
        <f>metric!A47</f>
        <v>246.88799962473027</v>
      </c>
      <c r="B29" s="15">
        <f>metric!B47</f>
        <v>3.55</v>
      </c>
      <c r="C29" s="14">
        <f>metric!A47</f>
        <v>246.88799962473027</v>
      </c>
      <c r="D29" s="15">
        <f>metric!L47</f>
        <v>3.7900000000000005</v>
      </c>
    </row>
    <row r="30" spans="1:8" x14ac:dyDescent="0.25">
      <c r="A30" s="14">
        <f>metric!A48</f>
        <v>256.03199961083141</v>
      </c>
      <c r="B30" s="15">
        <f>metric!B48</f>
        <v>3.65</v>
      </c>
      <c r="C30" s="14">
        <f>metric!A48</f>
        <v>256.03199961083141</v>
      </c>
      <c r="D30" s="15">
        <f>metric!L48</f>
        <v>3.84</v>
      </c>
    </row>
    <row r="31" spans="1:8" x14ac:dyDescent="0.25">
      <c r="A31" s="14">
        <f>metric!A49</f>
        <v>265.17599959693251</v>
      </c>
      <c r="B31" s="15">
        <f>metric!B49</f>
        <v>3.68</v>
      </c>
      <c r="C31" s="14">
        <f>metric!A49</f>
        <v>265.17599959693251</v>
      </c>
      <c r="D31" s="15">
        <f>metric!L49</f>
        <v>3.8766666666666665</v>
      </c>
    </row>
    <row r="32" spans="1:8" x14ac:dyDescent="0.25">
      <c r="A32" s="14">
        <f>metric!A50</f>
        <v>274.31999958303362</v>
      </c>
      <c r="B32" s="15">
        <f>metric!B50</f>
        <v>3.71</v>
      </c>
      <c r="C32" s="14">
        <f>metric!A50</f>
        <v>274.31999958303362</v>
      </c>
      <c r="D32" s="15">
        <f>metric!L50</f>
        <v>3.9066666666666663</v>
      </c>
    </row>
    <row r="33" spans="1:4" x14ac:dyDescent="0.25">
      <c r="A33" s="14">
        <f>metric!A51</f>
        <v>292.60799955523589</v>
      </c>
      <c r="B33" s="15">
        <f>metric!B51</f>
        <v>3.79</v>
      </c>
      <c r="C33" s="14">
        <f>metric!A51</f>
        <v>292.60799955523589</v>
      </c>
      <c r="D33" s="15">
        <f>metric!L51</f>
        <v>3.97</v>
      </c>
    </row>
    <row r="34" spans="1:4" x14ac:dyDescent="0.25">
      <c r="A34" s="14">
        <f>metric!A52</f>
        <v>310.89599952743811</v>
      </c>
      <c r="B34" s="15">
        <f>metric!B52</f>
        <v>3.86</v>
      </c>
      <c r="C34" s="14">
        <f>metric!A52</f>
        <v>310.89599952743811</v>
      </c>
      <c r="D34" s="15">
        <f>metric!L52</f>
        <v>4.0533333333333337</v>
      </c>
    </row>
    <row r="35" spans="1:4" x14ac:dyDescent="0.25">
      <c r="A35" s="14">
        <f>metric!A53</f>
        <v>329.18399949964038</v>
      </c>
      <c r="B35" s="15">
        <f>metric!B53</f>
        <v>3.92</v>
      </c>
      <c r="C35" s="14">
        <f>metric!A53</f>
        <v>329.18399949964038</v>
      </c>
      <c r="D35" s="15">
        <f>metric!L53</f>
        <v>4.1566666666666672</v>
      </c>
    </row>
    <row r="36" spans="1:4" x14ac:dyDescent="0.25">
      <c r="A36" s="14">
        <f>metric!A54</f>
        <v>347.47199947184259</v>
      </c>
      <c r="B36" s="15">
        <f>metric!B54</f>
        <v>3.96</v>
      </c>
      <c r="C36" s="14">
        <f>metric!A54</f>
        <v>347.47199947184259</v>
      </c>
      <c r="D36" s="15">
        <f>metric!L54</f>
        <v>4.2633333333333328</v>
      </c>
    </row>
    <row r="37" spans="1:4" x14ac:dyDescent="0.25">
      <c r="A37" s="14">
        <f>metric!A55</f>
        <v>365.75999944404481</v>
      </c>
      <c r="B37" s="15">
        <f>metric!B55</f>
        <v>3.99</v>
      </c>
      <c r="C37" s="14">
        <f>metric!A55</f>
        <v>365.75999944404481</v>
      </c>
      <c r="D37" s="15">
        <f>metric!L55</f>
        <v>4.3666666666666671</v>
      </c>
    </row>
    <row r="38" spans="1:4" x14ac:dyDescent="0.25">
      <c r="A38" s="14">
        <f>metric!A56</f>
        <v>384.04799941624708</v>
      </c>
      <c r="B38" s="15">
        <f>metric!B56</f>
        <v>4.0199999999999996</v>
      </c>
      <c r="C38" s="14">
        <f>metric!A56</f>
        <v>384.04799941624708</v>
      </c>
      <c r="D38" s="15">
        <f>metric!L56</f>
        <v>4.4066666666666672</v>
      </c>
    </row>
    <row r="39" spans="1:4" x14ac:dyDescent="0.25">
      <c r="A39" s="14">
        <f>metric!A57</f>
        <v>402.3359993884493</v>
      </c>
      <c r="B39" s="15">
        <f>metric!B57</f>
        <v>4.08</v>
      </c>
      <c r="C39" s="14">
        <f>metric!A57</f>
        <v>402.3359993884493</v>
      </c>
      <c r="D39" s="15">
        <f>metric!L57</f>
        <v>4.456666666666667</v>
      </c>
    </row>
    <row r="40" spans="1:4" x14ac:dyDescent="0.25">
      <c r="A40" s="14">
        <f>metric!A58</f>
        <v>420.62399936065157</v>
      </c>
      <c r="B40" s="15">
        <f>metric!B58</f>
        <v>4.17</v>
      </c>
      <c r="C40" s="14">
        <f>metric!A58</f>
        <v>420.62399936065157</v>
      </c>
      <c r="D40" s="15">
        <f>metric!L58</f>
        <v>4.5466666666666669</v>
      </c>
    </row>
    <row r="41" spans="1:4" x14ac:dyDescent="0.25">
      <c r="A41" s="14">
        <f>metric!A59</f>
        <v>438.91199933285378</v>
      </c>
      <c r="B41" s="15">
        <f>metric!B59</f>
        <v>4.28</v>
      </c>
      <c r="C41" s="14">
        <f>metric!A59</f>
        <v>438.91199933285378</v>
      </c>
      <c r="D41" s="15">
        <f>metric!L59</f>
        <v>4.6566666666666672</v>
      </c>
    </row>
    <row r="42" spans="1:4" x14ac:dyDescent="0.25">
      <c r="A42" s="14">
        <f>metric!A60</f>
        <v>457.19999930505605</v>
      </c>
      <c r="B42" s="15">
        <f>metric!B60</f>
        <v>4.41</v>
      </c>
      <c r="C42" s="14">
        <f>metric!A60</f>
        <v>457.19999930505605</v>
      </c>
      <c r="D42" s="15">
        <f>metric!L60</f>
        <v>4.7866666666666662</v>
      </c>
    </row>
    <row r="43" spans="1:4" x14ac:dyDescent="0.25">
      <c r="A43" s="14">
        <f>metric!A61</f>
        <v>475.48799927725827</v>
      </c>
      <c r="B43" s="15">
        <f>metric!B61</f>
        <v>4.54</v>
      </c>
      <c r="C43" s="14">
        <f>metric!A61</f>
        <v>475.48799927725827</v>
      </c>
      <c r="D43" s="15">
        <f>metric!L61</f>
        <v>4.9799999999999995</v>
      </c>
    </row>
    <row r="44" spans="1:4" x14ac:dyDescent="0.25">
      <c r="A44" s="14">
        <f>metric!A62</f>
        <v>493.77599924946054</v>
      </c>
      <c r="B44" s="15">
        <f>metric!B62</f>
        <v>4.6500000000000004</v>
      </c>
      <c r="C44" s="14">
        <f>metric!A62</f>
        <v>493.77599924946054</v>
      </c>
      <c r="D44" s="15">
        <f>metric!L62</f>
        <v>5.1000000000000005</v>
      </c>
    </row>
    <row r="45" spans="1:4" x14ac:dyDescent="0.25">
      <c r="A45" s="14">
        <f>metric!A63</f>
        <v>512.06399922166281</v>
      </c>
      <c r="B45" s="15">
        <f>metric!B63</f>
        <v>4.74</v>
      </c>
      <c r="C45" s="14">
        <f>metric!A63</f>
        <v>512.06399922166281</v>
      </c>
      <c r="D45" s="15">
        <f>metric!L63</f>
        <v>5.18</v>
      </c>
    </row>
    <row r="46" spans="1:4" x14ac:dyDescent="0.25">
      <c r="A46" s="14">
        <f>metric!A64</f>
        <v>530.35199919386503</v>
      </c>
      <c r="B46" s="15">
        <f>metric!B64</f>
        <v>4.79</v>
      </c>
      <c r="C46" s="14">
        <f>metric!A64</f>
        <v>530.35199919386503</v>
      </c>
      <c r="D46" s="15">
        <f>metric!L64</f>
        <v>5.2299999999999995</v>
      </c>
    </row>
    <row r="47" spans="1:4" ht="15.75" thickBot="1" x14ac:dyDescent="0.3">
      <c r="A47" s="16">
        <f>metric!A65</f>
        <v>548.63999916606724</v>
      </c>
      <c r="B47" s="17">
        <f>metric!B65</f>
        <v>4.82</v>
      </c>
      <c r="C47" s="16">
        <f>metric!A65</f>
        <v>548.63999916606724</v>
      </c>
      <c r="D47" s="17">
        <f>metric!L65</f>
        <v>5.26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</vt:lpstr>
      <vt:lpstr>metric</vt:lpstr>
      <vt:lpstr>SG_baseline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Nikolai Aasprong</dc:creator>
  <cp:lastModifiedBy>Nikolai Aasprong</cp:lastModifiedBy>
  <dcterms:created xsi:type="dcterms:W3CDTF">2026-03-11T15:10:10Z</dcterms:created>
  <dcterms:modified xsi:type="dcterms:W3CDTF">2026-03-11T17:56:55Z</dcterms:modified>
</cp:coreProperties>
</file>