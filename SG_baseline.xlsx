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iAasprong\golf-stats\"/>
    </mc:Choice>
  </mc:AlternateContent>
  <xr:revisionPtr revIDLastSave="0" documentId="13_ncr:1_{E11CE72C-572D-49FC-8061-1D20AEDF0125}" xr6:coauthVersionLast="47" xr6:coauthVersionMax="47" xr10:uidLastSave="{00000000-0000-0000-0000-000000000000}"/>
  <bookViews>
    <workbookView xWindow="-120" yWindow="-120" windowWidth="29040" windowHeight="15720" activeTab="2" xr2:uid="{B64AB023-654D-4F45-8500-8FC89343C9DD}"/>
  </bookViews>
  <sheets>
    <sheet name="source" sheetId="1" r:id="rId1"/>
    <sheet name="metric" sheetId="2" r:id="rId2"/>
    <sheet name="SG_basel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3" l="1" a="1"/>
  <c r="A68" i="3" s="1"/>
  <c r="A69" i="3" a="1"/>
  <c r="A69" i="3"/>
  <c r="A70" i="3" a="1"/>
  <c r="A70" i="3"/>
  <c r="A71" i="3" a="1"/>
  <c r="A71" i="3"/>
  <c r="A72" i="3" a="1"/>
  <c r="A72" i="3"/>
  <c r="A73" i="3" a="1"/>
  <c r="A73" i="3"/>
  <c r="A74" i="3" a="1"/>
  <c r="A74" i="3"/>
  <c r="A75" i="3" a="1"/>
  <c r="A75" i="3"/>
  <c r="A76" i="3" a="1"/>
  <c r="A76" i="3"/>
  <c r="A77" i="3" a="1"/>
  <c r="A77" i="3"/>
  <c r="A78" i="3" a="1"/>
  <c r="A78" i="3"/>
  <c r="A79" i="3" a="1"/>
  <c r="A79" i="3"/>
  <c r="A80" i="3" a="1"/>
  <c r="A80" i="3" s="1"/>
  <c r="A81" i="3" a="1"/>
  <c r="A81" i="3"/>
  <c r="A82" i="3" a="1"/>
  <c r="A82" i="3"/>
  <c r="A83" i="3" a="1"/>
  <c r="A83" i="3"/>
  <c r="A67" i="3" a="1"/>
  <c r="A67" i="3" s="1"/>
  <c r="A38" i="3" a="1"/>
  <c r="A38" i="3" s="1"/>
  <c r="A39" i="3" a="1"/>
  <c r="A39" i="3"/>
  <c r="A40" i="3" a="1"/>
  <c r="A40" i="3" s="1"/>
  <c r="A41" i="3" a="1"/>
  <c r="A41" i="3"/>
  <c r="A42" i="3" a="1"/>
  <c r="A42" i="3"/>
  <c r="A43" i="3" a="1"/>
  <c r="A43" i="3" s="1"/>
  <c r="A44" i="3" a="1"/>
  <c r="A44" i="3"/>
  <c r="A45" i="3" a="1"/>
  <c r="A45" i="3"/>
  <c r="A46" i="3" a="1"/>
  <c r="A46" i="3"/>
  <c r="A47" i="3" a="1"/>
  <c r="A47" i="3"/>
  <c r="A48" i="3" a="1"/>
  <c r="A48" i="3"/>
  <c r="A49" i="3" a="1"/>
  <c r="A49" i="3"/>
  <c r="A50" i="3" a="1"/>
  <c r="A50" i="3" s="1"/>
  <c r="A51" i="3" a="1"/>
  <c r="A51" i="3"/>
  <c r="A52" i="3" a="1"/>
  <c r="A52" i="3" s="1"/>
  <c r="A53" i="3" a="1"/>
  <c r="A53" i="3"/>
  <c r="A54" i="3" a="1"/>
  <c r="A54" i="3"/>
  <c r="A55" i="3" a="1"/>
  <c r="A55" i="3" s="1"/>
  <c r="A56" i="3" a="1"/>
  <c r="A56" i="3"/>
  <c r="A57" i="3" a="1"/>
  <c r="A57" i="3"/>
  <c r="A58" i="3" a="1"/>
  <c r="A58" i="3"/>
  <c r="A59" i="3" a="1"/>
  <c r="A59" i="3"/>
  <c r="A60" i="3" a="1"/>
  <c r="A60" i="3"/>
  <c r="A61" i="3" a="1"/>
  <c r="A61" i="3"/>
  <c r="A62" i="3" a="1"/>
  <c r="A62" i="3" s="1"/>
  <c r="A63" i="3" a="1"/>
  <c r="A63" i="3"/>
  <c r="A64" i="3" a="1"/>
  <c r="A64" i="3" s="1"/>
  <c r="A65" i="3" a="1"/>
  <c r="A65" i="3"/>
  <c r="A2" i="3" a="1"/>
  <c r="A2" i="3"/>
  <c r="A3" i="3" a="1"/>
  <c r="A3" i="3"/>
  <c r="A4" i="3" a="1"/>
  <c r="A4" i="3"/>
  <c r="A5" i="3" a="1"/>
  <c r="A5" i="3"/>
  <c r="A6" i="3" a="1"/>
  <c r="A6" i="3"/>
  <c r="A7" i="3" a="1"/>
  <c r="A7" i="3" s="1"/>
  <c r="A8" i="3" a="1"/>
  <c r="A8" i="3"/>
  <c r="A9" i="3" a="1"/>
  <c r="A9" i="3"/>
  <c r="A10" i="3" a="1"/>
  <c r="A10" i="3"/>
  <c r="A11" i="3" a="1"/>
  <c r="A11" i="3"/>
  <c r="A12" i="3" a="1"/>
  <c r="A12" i="3"/>
  <c r="A13" i="3" a="1"/>
  <c r="A13" i="3"/>
  <c r="A14" i="3" a="1"/>
  <c r="A14" i="3"/>
  <c r="A15" i="3" a="1"/>
  <c r="A15" i="3"/>
  <c r="A16" i="3" a="1"/>
  <c r="A16" i="3"/>
  <c r="A17" i="3" a="1"/>
  <c r="A17" i="3"/>
  <c r="A18" i="3" a="1"/>
  <c r="A18" i="3" s="1"/>
  <c r="A19" i="3" a="1"/>
  <c r="A19" i="3" s="1"/>
  <c r="A20" i="3" a="1"/>
  <c r="A20" i="3"/>
  <c r="A21" i="3" a="1"/>
  <c r="A21" i="3"/>
  <c r="A22" i="3" a="1"/>
  <c r="A22" i="3"/>
  <c r="A23" i="3" a="1"/>
  <c r="A23" i="3"/>
  <c r="A24" i="3" a="1"/>
  <c r="A24" i="3"/>
  <c r="A25" i="3" a="1"/>
  <c r="A25" i="3"/>
  <c r="A26" i="3" a="1"/>
  <c r="A26" i="3"/>
  <c r="A27" i="3" a="1"/>
  <c r="A27" i="3"/>
  <c r="A28" i="3" a="1"/>
  <c r="A28" i="3"/>
  <c r="A29" i="3" a="1"/>
  <c r="A29" i="3"/>
  <c r="A30" i="3" a="1"/>
  <c r="A30" i="3"/>
  <c r="A31" i="3" a="1"/>
  <c r="A31" i="3" s="1"/>
  <c r="A32" i="3" a="1"/>
  <c r="A32" i="3"/>
  <c r="A33" i="3" a="1"/>
  <c r="A33" i="3"/>
  <c r="A34" i="3" a="1"/>
  <c r="A34" i="3"/>
  <c r="A35" i="3" a="1"/>
  <c r="A35" i="3"/>
  <c r="A36" i="3" a="1"/>
  <c r="A36" i="3"/>
  <c r="A37" i="3" a="1"/>
  <c r="A37" i="3"/>
  <c r="A1" i="3" a="1"/>
  <c r="A1" i="3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20" i="2"/>
  <c r="O3" i="2"/>
  <c r="P3" i="2"/>
  <c r="Q3" i="2"/>
  <c r="R3" i="2"/>
  <c r="S3" i="2"/>
  <c r="O4" i="2"/>
  <c r="P4" i="2"/>
  <c r="Q4" i="2"/>
  <c r="R4" i="2"/>
  <c r="S4" i="2"/>
  <c r="O5" i="2"/>
  <c r="P5" i="2"/>
  <c r="Q5" i="2"/>
  <c r="R5" i="2"/>
  <c r="S5" i="2"/>
  <c r="O6" i="2"/>
  <c r="P6" i="2"/>
  <c r="Q6" i="2"/>
  <c r="R6" i="2"/>
  <c r="S6" i="2"/>
  <c r="O7" i="2"/>
  <c r="P7" i="2"/>
  <c r="Q7" i="2"/>
  <c r="R7" i="2"/>
  <c r="S7" i="2"/>
  <c r="P2" i="2"/>
  <c r="Q2" i="2"/>
  <c r="R2" i="2"/>
  <c r="S2" i="2"/>
  <c r="O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C2" i="2"/>
  <c r="D2" i="2"/>
  <c r="E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C51" i="2"/>
  <c r="D51" i="2"/>
  <c r="E51" i="2"/>
  <c r="F51" i="2"/>
  <c r="C52" i="2"/>
  <c r="D52" i="2"/>
  <c r="E52" i="2"/>
  <c r="F52" i="2"/>
  <c r="C53" i="2"/>
  <c r="D53" i="2"/>
  <c r="E53" i="2"/>
  <c r="F53" i="2"/>
  <c r="C54" i="2"/>
  <c r="D54" i="2"/>
  <c r="E54" i="2"/>
  <c r="F54" i="2"/>
  <c r="C55" i="2"/>
  <c r="D55" i="2"/>
  <c r="E55" i="2"/>
  <c r="F55" i="2"/>
  <c r="C56" i="2"/>
  <c r="D56" i="2"/>
  <c r="E56" i="2"/>
  <c r="F56" i="2"/>
  <c r="C57" i="2"/>
  <c r="D57" i="2"/>
  <c r="E57" i="2"/>
  <c r="F57" i="2"/>
  <c r="C58" i="2"/>
  <c r="D58" i="2"/>
  <c r="E58" i="2"/>
  <c r="F58" i="2"/>
  <c r="C59" i="2"/>
  <c r="D59" i="2"/>
  <c r="E59" i="2"/>
  <c r="F59" i="2"/>
  <c r="C60" i="2"/>
  <c r="D60" i="2"/>
  <c r="E60" i="2"/>
  <c r="F60" i="2"/>
  <c r="C61" i="2"/>
  <c r="D61" i="2"/>
  <c r="E61" i="2"/>
  <c r="F61" i="2"/>
  <c r="C62" i="2"/>
  <c r="D62" i="2"/>
  <c r="E62" i="2"/>
  <c r="F62" i="2"/>
  <c r="C63" i="2"/>
  <c r="D63" i="2"/>
  <c r="E63" i="2"/>
  <c r="F63" i="2"/>
  <c r="C64" i="2"/>
  <c r="D64" i="2"/>
  <c r="E64" i="2"/>
  <c r="F64" i="2"/>
  <c r="C65" i="2"/>
  <c r="D65" i="2"/>
  <c r="E65" i="2"/>
  <c r="F65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2" i="2"/>
  <c r="Q1" i="2"/>
  <c r="R1" i="2"/>
  <c r="S1" i="2"/>
  <c r="P1" i="2"/>
  <c r="F1" i="2"/>
  <c r="I1" i="2"/>
  <c r="J1" i="2"/>
  <c r="B1" i="2"/>
  <c r="C1" i="2"/>
  <c r="D1" i="2"/>
  <c r="E1" i="2"/>
  <c r="A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<sst xmlns="http://schemas.openxmlformats.org/spreadsheetml/2006/main" count="18" uniqueCount="16">
  <si>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DISTANCE</t>
  </si>
  <si>
    <t>TEE</t>
  </si>
  <si>
    <t>FAIRWAY</t>
  </si>
  <si>
    <t>ROUGH</t>
  </si>
  <si>
    <t>SAND</t>
  </si>
  <si>
    <t>RECOVERY</t>
  </si>
  <si>
    <t>GREEN</t>
  </si>
  <si>
    <t>APPROACH</t>
  </si>
  <si>
    <t>SHORT</t>
  </si>
  <si>
    <t>PUTT</t>
  </si>
  <si>
    <t>scratch</t>
  </si>
  <si>
    <t>feet per meter</t>
  </si>
  <si>
    <t>yeards per meter</t>
  </si>
  <si>
    <t>AVG APPROACH</t>
  </si>
  <si>
    <t>AVG SHORT GAME</t>
  </si>
  <si>
    <t>manually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</si>
</sst>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Oswald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B295-9032-4582-AA0C-70842CA5F81C}">
  <dimension ref="A1:S65"/>
  <sheetViews>
    <sheetView workbookViewId="0">
      <selection activeCell="G19" sqref="G19"/>
    </sheetView>
  </sheetViews>
  <sheetFormatPr defaultRowHeight="15" x14ac:dyDescent="0.25"/>
  <sheetData>
    <row r="1" spans="1:19" ht="18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8" t="s">
        <v>0</v>
      </c>
      <c r="J1" s="2" t="s">
        <v>6</v>
      </c>
      <c r="K1" s="6"/>
      <c r="L1" s="6"/>
      <c r="O1" s="9"/>
      <c r="P1" s="5" t="s">
        <v>1</v>
      </c>
      <c r="Q1" s="5" t="s">
        <v>7</v>
      </c>
      <c r="R1" s="5" t="s">
        <v>8</v>
      </c>
      <c r="S1" s="5" t="s">
        <v>9</v>
      </c>
    </row>
    <row r="2" spans="1:19" ht="18.75" thickBot="1" x14ac:dyDescent="0.5">
      <c r="A2" s="4">
        <v>10</v>
      </c>
      <c r="B2" s="3"/>
      <c r="C2" s="4">
        <v>2.2000000000000002</v>
      </c>
      <c r="D2" s="4">
        <v>2.4900000000000002</v>
      </c>
      <c r="E2" s="4">
        <v>2.41</v>
      </c>
      <c r="F2" s="3"/>
      <c r="I2" s="10">
        <v>1</v>
      </c>
      <c r="J2" s="11">
        <v>1</v>
      </c>
      <c r="K2" s="6"/>
      <c r="L2" s="6"/>
      <c r="O2" s="5" t="s">
        <v>10</v>
      </c>
      <c r="P2" s="5">
        <v>1.78</v>
      </c>
      <c r="Q2" s="5">
        <v>2.0299999999999998</v>
      </c>
      <c r="R2" s="5">
        <v>0.39</v>
      </c>
      <c r="S2" s="5">
        <v>0.94</v>
      </c>
    </row>
    <row r="3" spans="1:19" ht="18.75" thickBot="1" x14ac:dyDescent="0.3">
      <c r="A3" s="4">
        <v>15</v>
      </c>
      <c r="B3" s="3"/>
      <c r="C3" s="4">
        <v>2.2999999999999998</v>
      </c>
      <c r="D3" s="4">
        <v>2.54</v>
      </c>
      <c r="E3" s="4">
        <v>2.4700000000000002</v>
      </c>
      <c r="F3" s="3"/>
      <c r="I3" s="4">
        <v>3</v>
      </c>
      <c r="J3" s="4">
        <v>1.04</v>
      </c>
      <c r="K3" s="6"/>
      <c r="L3" s="6"/>
      <c r="O3" s="5">
        <v>5</v>
      </c>
      <c r="P3" s="5">
        <v>3.31</v>
      </c>
      <c r="Q3" s="5">
        <v>4.29</v>
      </c>
      <c r="R3" s="5">
        <v>0.97</v>
      </c>
      <c r="S3" s="5">
        <v>1.42</v>
      </c>
    </row>
    <row r="4" spans="1:19" ht="18.75" thickBot="1" x14ac:dyDescent="0.3">
      <c r="A4" s="4">
        <v>20</v>
      </c>
      <c r="B4" s="3"/>
      <c r="C4" s="4">
        <v>2.4</v>
      </c>
      <c r="D4" s="4">
        <v>2.59</v>
      </c>
      <c r="E4" s="4">
        <v>2.5299999999999998</v>
      </c>
      <c r="F4" s="3"/>
      <c r="I4" s="5">
        <v>4</v>
      </c>
      <c r="J4" s="5">
        <v>1.1299999999999999</v>
      </c>
      <c r="O4" s="5">
        <v>10</v>
      </c>
      <c r="P4" s="5">
        <v>3.61</v>
      </c>
      <c r="Q4" s="5">
        <v>6.11</v>
      </c>
      <c r="R4" s="5">
        <v>1.33</v>
      </c>
      <c r="S4" s="5">
        <v>2.77</v>
      </c>
    </row>
    <row r="5" spans="1:19" ht="18.75" thickBot="1" x14ac:dyDescent="0.3">
      <c r="A5" s="5">
        <v>25</v>
      </c>
      <c r="B5" s="6"/>
      <c r="C5" s="4">
        <v>2.4500000000000002</v>
      </c>
      <c r="D5" s="5">
        <v>2.64</v>
      </c>
      <c r="E5" s="5">
        <v>2.59</v>
      </c>
      <c r="F5" s="6"/>
      <c r="I5" s="4">
        <v>5</v>
      </c>
      <c r="J5" s="4">
        <v>1.23</v>
      </c>
      <c r="K5" s="3"/>
      <c r="L5" s="3"/>
      <c r="O5" s="5">
        <v>15</v>
      </c>
      <c r="P5" s="5">
        <v>4.8600000000000003</v>
      </c>
      <c r="Q5" s="5">
        <v>8.5399999999999991</v>
      </c>
      <c r="R5" s="5">
        <v>4.46</v>
      </c>
      <c r="S5" s="5">
        <v>4.46</v>
      </c>
    </row>
    <row r="6" spans="1:19" ht="18.75" thickBot="1" x14ac:dyDescent="0.3">
      <c r="A6" s="5">
        <v>30</v>
      </c>
      <c r="B6" s="6"/>
      <c r="C6" s="4">
        <v>2.5</v>
      </c>
      <c r="D6" s="5">
        <v>2.69</v>
      </c>
      <c r="E6" s="5">
        <v>2.67</v>
      </c>
      <c r="F6" s="6"/>
      <c r="I6" s="5">
        <v>6</v>
      </c>
      <c r="J6" s="5">
        <v>1.34</v>
      </c>
      <c r="K6" s="3"/>
      <c r="L6" s="3"/>
      <c r="O6" s="5">
        <v>20</v>
      </c>
      <c r="P6" s="5">
        <v>5.75</v>
      </c>
      <c r="Q6" s="5">
        <v>11.26</v>
      </c>
      <c r="R6" s="5">
        <v>4.4800000000000004</v>
      </c>
      <c r="S6" s="5">
        <v>4.4800000000000004</v>
      </c>
    </row>
    <row r="7" spans="1:19" ht="18.75" thickBot="1" x14ac:dyDescent="0.3">
      <c r="A7" s="5">
        <v>35</v>
      </c>
      <c r="B7" s="6"/>
      <c r="C7" s="4">
        <v>2.5499999999999998</v>
      </c>
      <c r="D7" s="5">
        <v>2.74</v>
      </c>
      <c r="E7" s="5">
        <v>2.76</v>
      </c>
      <c r="F7" s="6"/>
      <c r="I7" s="4">
        <v>7</v>
      </c>
      <c r="J7" s="4">
        <v>1.42</v>
      </c>
      <c r="K7" s="3"/>
      <c r="L7" s="3"/>
      <c r="O7" s="5">
        <v>25</v>
      </c>
      <c r="P7" s="5">
        <v>7.53</v>
      </c>
      <c r="Q7" s="5">
        <v>14.23</v>
      </c>
      <c r="R7" s="5">
        <v>4.71</v>
      </c>
      <c r="S7" s="5">
        <v>4.71</v>
      </c>
    </row>
    <row r="8" spans="1:19" ht="18.75" thickBot="1" x14ac:dyDescent="0.3">
      <c r="A8" s="5">
        <v>40</v>
      </c>
      <c r="B8" s="6"/>
      <c r="C8" s="5">
        <v>2.6</v>
      </c>
      <c r="D8" s="5">
        <v>2.78</v>
      </c>
      <c r="E8" s="5">
        <v>2.82</v>
      </c>
      <c r="F8" s="6"/>
      <c r="I8" s="5">
        <v>8</v>
      </c>
      <c r="J8" s="5">
        <v>1.5</v>
      </c>
    </row>
    <row r="9" spans="1:19" ht="18.75" thickBot="1" x14ac:dyDescent="0.3">
      <c r="A9" s="4">
        <v>45</v>
      </c>
      <c r="B9" s="3"/>
      <c r="C9" s="4">
        <v>2.62</v>
      </c>
      <c r="D9" s="4">
        <v>2.82</v>
      </c>
      <c r="E9" s="4">
        <v>2.9</v>
      </c>
      <c r="F9" s="3"/>
      <c r="I9" s="4">
        <v>9</v>
      </c>
      <c r="J9" s="4">
        <v>1.56</v>
      </c>
      <c r="K9" s="6"/>
      <c r="L9" s="6"/>
    </row>
    <row r="10" spans="1:19" ht="18.75" thickBot="1" x14ac:dyDescent="0.3">
      <c r="A10" s="4">
        <v>50</v>
      </c>
      <c r="B10" s="3"/>
      <c r="C10" s="4">
        <v>2.65</v>
      </c>
      <c r="D10" s="4">
        <v>2.85</v>
      </c>
      <c r="E10" s="4">
        <v>2.98</v>
      </c>
      <c r="F10" s="3"/>
      <c r="I10" s="5">
        <v>10</v>
      </c>
      <c r="J10" s="5">
        <v>1.61</v>
      </c>
      <c r="K10" s="6"/>
      <c r="L10" s="6"/>
    </row>
    <row r="11" spans="1:19" ht="18.75" thickBot="1" x14ac:dyDescent="0.3">
      <c r="A11" s="4">
        <v>55</v>
      </c>
      <c r="B11" s="3"/>
      <c r="C11" s="4">
        <v>2.67</v>
      </c>
      <c r="D11" s="4">
        <v>2.88</v>
      </c>
      <c r="E11" s="4">
        <v>3.07</v>
      </c>
      <c r="F11" s="3"/>
      <c r="I11" s="4">
        <v>15</v>
      </c>
      <c r="J11" s="4">
        <v>1.78</v>
      </c>
      <c r="K11" s="6"/>
      <c r="L11" s="6"/>
    </row>
    <row r="12" spans="1:19" ht="18.75" thickBot="1" x14ac:dyDescent="0.3">
      <c r="A12" s="4">
        <v>60</v>
      </c>
      <c r="B12" s="3"/>
      <c r="C12" s="4">
        <v>2.7</v>
      </c>
      <c r="D12" s="4">
        <v>2.91</v>
      </c>
      <c r="E12" s="4">
        <v>3.15</v>
      </c>
      <c r="F12" s="3"/>
      <c r="I12" s="5">
        <v>20</v>
      </c>
      <c r="J12" s="5">
        <v>1.87</v>
      </c>
    </row>
    <row r="13" spans="1:19" ht="18.75" thickBot="1" x14ac:dyDescent="0.3">
      <c r="A13" s="5">
        <v>65</v>
      </c>
      <c r="B13" s="6"/>
      <c r="C13" s="5">
        <v>2.72</v>
      </c>
      <c r="D13" s="5">
        <v>2.92</v>
      </c>
      <c r="E13" s="5">
        <v>3.17</v>
      </c>
      <c r="F13" s="6"/>
      <c r="I13" s="4">
        <v>30</v>
      </c>
      <c r="J13" s="4">
        <v>1.98</v>
      </c>
      <c r="K13" s="3"/>
      <c r="L13" s="3"/>
    </row>
    <row r="14" spans="1:19" ht="18.75" thickBot="1" x14ac:dyDescent="0.3">
      <c r="A14" s="5">
        <v>70</v>
      </c>
      <c r="B14" s="6"/>
      <c r="C14" s="5">
        <v>2.73</v>
      </c>
      <c r="D14" s="5">
        <v>2.93</v>
      </c>
      <c r="E14" s="5">
        <v>3.19</v>
      </c>
      <c r="F14" s="6"/>
      <c r="I14" s="5">
        <v>40</v>
      </c>
      <c r="J14" s="5">
        <v>2.06</v>
      </c>
      <c r="K14" s="3"/>
      <c r="L14" s="3"/>
    </row>
    <row r="15" spans="1:19" ht="18.75" thickBot="1" x14ac:dyDescent="0.3">
      <c r="A15" s="5">
        <v>75</v>
      </c>
      <c r="B15" s="6"/>
      <c r="C15" s="5">
        <v>2.74</v>
      </c>
      <c r="D15" s="5">
        <v>2.95</v>
      </c>
      <c r="E15" s="5">
        <v>3.22</v>
      </c>
      <c r="F15" s="6"/>
      <c r="I15" s="4">
        <v>50</v>
      </c>
      <c r="J15" s="4">
        <v>2.14</v>
      </c>
      <c r="K15" s="3"/>
      <c r="L15" s="3"/>
    </row>
    <row r="16" spans="1:19" ht="18.75" thickBot="1" x14ac:dyDescent="0.3">
      <c r="A16" s="5">
        <v>80</v>
      </c>
      <c r="B16" s="6"/>
      <c r="C16" s="5">
        <v>2.75</v>
      </c>
      <c r="D16" s="5">
        <v>2.96</v>
      </c>
      <c r="E16" s="5">
        <v>3.24</v>
      </c>
      <c r="F16" s="7"/>
      <c r="I16" s="5">
        <v>60</v>
      </c>
      <c r="J16" s="5">
        <v>2.21</v>
      </c>
    </row>
    <row r="17" spans="1:12" ht="18.75" thickBot="1" x14ac:dyDescent="0.3">
      <c r="A17" s="4">
        <v>85</v>
      </c>
      <c r="B17" s="3"/>
      <c r="C17" s="4">
        <v>2.77</v>
      </c>
      <c r="D17" s="4">
        <v>2.97</v>
      </c>
      <c r="E17" s="4">
        <v>3.24</v>
      </c>
      <c r="F17" s="3"/>
      <c r="I17" s="4">
        <v>90</v>
      </c>
      <c r="J17" s="4">
        <v>2.4</v>
      </c>
      <c r="K17" s="6"/>
      <c r="L17" s="6"/>
    </row>
    <row r="18" spans="1:12" ht="18.75" thickBot="1" x14ac:dyDescent="0.3">
      <c r="A18" s="4">
        <v>90</v>
      </c>
      <c r="B18" s="3"/>
      <c r="C18" s="4">
        <v>2.78</v>
      </c>
      <c r="D18" s="4">
        <v>2.99</v>
      </c>
      <c r="E18" s="4">
        <v>3.23</v>
      </c>
      <c r="F18" s="3"/>
      <c r="K18" s="6"/>
      <c r="L18" s="6"/>
    </row>
    <row r="19" spans="1:12" ht="18.75" thickBot="1" x14ac:dyDescent="0.3">
      <c r="A19" s="4">
        <v>95</v>
      </c>
      <c r="B19" s="3"/>
      <c r="C19" s="4">
        <v>2.79</v>
      </c>
      <c r="D19" s="4">
        <v>3.01</v>
      </c>
      <c r="E19" s="4">
        <v>3.23</v>
      </c>
      <c r="F19" s="3"/>
      <c r="K19" s="6"/>
      <c r="L19" s="6"/>
    </row>
    <row r="20" spans="1:12" ht="18.75" thickBot="1" x14ac:dyDescent="0.3">
      <c r="A20" s="4">
        <v>100</v>
      </c>
      <c r="B20" s="4">
        <v>2.92</v>
      </c>
      <c r="C20" s="4">
        <v>2.8</v>
      </c>
      <c r="D20" s="4">
        <v>3.02</v>
      </c>
      <c r="E20" s="4">
        <v>3.23</v>
      </c>
      <c r="F20" s="4">
        <v>3.8</v>
      </c>
    </row>
    <row r="21" spans="1:12" ht="18.75" thickBot="1" x14ac:dyDescent="0.3">
      <c r="A21" s="5">
        <v>105</v>
      </c>
      <c r="B21" s="5">
        <v>2.93</v>
      </c>
      <c r="C21" s="5">
        <v>2.81</v>
      </c>
      <c r="D21" s="5">
        <v>3.03</v>
      </c>
      <c r="E21" s="5">
        <v>3.23</v>
      </c>
      <c r="F21" s="4">
        <v>3.8</v>
      </c>
      <c r="K21" s="3"/>
      <c r="L21" s="3"/>
    </row>
    <row r="22" spans="1:12" ht="18.75" thickBot="1" x14ac:dyDescent="0.3">
      <c r="A22" s="5">
        <v>110</v>
      </c>
      <c r="B22" s="5">
        <v>2.95</v>
      </c>
      <c r="C22" s="5">
        <v>2.83</v>
      </c>
      <c r="D22" s="5">
        <v>3.04</v>
      </c>
      <c r="E22" s="5">
        <v>3.22</v>
      </c>
      <c r="F22" s="4">
        <v>3.8</v>
      </c>
    </row>
    <row r="23" spans="1:12" ht="18.75" thickBot="1" x14ac:dyDescent="0.3">
      <c r="A23" s="5">
        <v>115</v>
      </c>
      <c r="B23" s="5">
        <v>2.97</v>
      </c>
      <c r="C23" s="5">
        <v>2.84</v>
      </c>
      <c r="D23" s="5">
        <v>3.06</v>
      </c>
      <c r="E23" s="5">
        <v>3.21</v>
      </c>
      <c r="F23" s="4">
        <v>3.8</v>
      </c>
      <c r="K23" s="6"/>
      <c r="L23" s="6"/>
    </row>
    <row r="24" spans="1:12" ht="18.75" thickBot="1" x14ac:dyDescent="0.3">
      <c r="A24" s="5">
        <v>120</v>
      </c>
      <c r="B24" s="5">
        <v>2.99</v>
      </c>
      <c r="C24" s="5">
        <v>2.85</v>
      </c>
      <c r="D24" s="5">
        <v>3.08</v>
      </c>
      <c r="E24" s="5">
        <v>3.21</v>
      </c>
      <c r="F24" s="5">
        <v>3.78</v>
      </c>
    </row>
    <row r="25" spans="1:12" ht="18.75" thickBot="1" x14ac:dyDescent="0.3">
      <c r="A25" s="5">
        <v>125</v>
      </c>
      <c r="B25" s="4">
        <v>2.99</v>
      </c>
      <c r="C25" s="4">
        <v>2.86</v>
      </c>
      <c r="D25" s="4">
        <v>3.09</v>
      </c>
      <c r="E25" s="4">
        <v>3.21</v>
      </c>
      <c r="F25" s="5">
        <v>3.78</v>
      </c>
      <c r="K25" s="3"/>
      <c r="L25" s="3"/>
    </row>
    <row r="26" spans="1:12" ht="18.75" thickBot="1" x14ac:dyDescent="0.3">
      <c r="A26" s="4">
        <v>130</v>
      </c>
      <c r="B26" s="4">
        <v>2.97</v>
      </c>
      <c r="C26" s="4">
        <v>2.88</v>
      </c>
      <c r="D26" s="4">
        <v>3.11</v>
      </c>
      <c r="E26" s="4">
        <v>3.21</v>
      </c>
      <c r="F26" s="5">
        <v>3.78</v>
      </c>
    </row>
    <row r="27" spans="1:12" ht="18.75" thickBot="1" x14ac:dyDescent="0.3">
      <c r="A27" s="4">
        <v>135</v>
      </c>
      <c r="B27" s="4">
        <v>2.97</v>
      </c>
      <c r="C27" s="4">
        <v>2.9</v>
      </c>
      <c r="D27" s="4">
        <v>3.13</v>
      </c>
      <c r="E27" s="4">
        <v>3.22</v>
      </c>
      <c r="F27" s="5">
        <v>3.78</v>
      </c>
      <c r="K27" s="6"/>
      <c r="L27" s="6"/>
    </row>
    <row r="28" spans="1:12" ht="18.75" thickBot="1" x14ac:dyDescent="0.3">
      <c r="A28" s="4">
        <v>140</v>
      </c>
      <c r="B28" s="4">
        <v>2.97</v>
      </c>
      <c r="C28" s="4">
        <v>2.91</v>
      </c>
      <c r="D28" s="4">
        <v>3.15</v>
      </c>
      <c r="E28" s="4">
        <v>3.22</v>
      </c>
      <c r="F28" s="4">
        <v>3.8</v>
      </c>
    </row>
    <row r="29" spans="1:12" ht="18.75" thickBot="1" x14ac:dyDescent="0.3">
      <c r="A29" s="4">
        <v>145</v>
      </c>
      <c r="B29" s="5">
        <v>2.97</v>
      </c>
      <c r="C29" s="5">
        <v>2.93</v>
      </c>
      <c r="D29" s="5">
        <v>3.17</v>
      </c>
      <c r="E29" s="5">
        <v>3.23</v>
      </c>
      <c r="F29" s="4">
        <v>3.8</v>
      </c>
      <c r="K29" s="3"/>
      <c r="L29" s="3"/>
    </row>
    <row r="30" spans="1:12" ht="18.75" thickBot="1" x14ac:dyDescent="0.3">
      <c r="A30" s="5">
        <v>150</v>
      </c>
      <c r="B30" s="5">
        <v>2.99</v>
      </c>
      <c r="C30" s="5">
        <v>2.95</v>
      </c>
      <c r="D30" s="5">
        <v>3.19</v>
      </c>
      <c r="E30" s="5">
        <v>3.25</v>
      </c>
      <c r="F30" s="4">
        <v>3.8</v>
      </c>
    </row>
    <row r="31" spans="1:12" ht="18.75" thickBot="1" x14ac:dyDescent="0.3">
      <c r="A31" s="5">
        <v>155</v>
      </c>
      <c r="B31" s="5">
        <v>2.99</v>
      </c>
      <c r="C31" s="5">
        <v>2.97</v>
      </c>
      <c r="D31" s="5">
        <v>3.21</v>
      </c>
      <c r="E31" s="5">
        <v>3.26</v>
      </c>
      <c r="F31" s="4">
        <v>3.8</v>
      </c>
    </row>
    <row r="32" spans="1:12" ht="18.75" thickBot="1" x14ac:dyDescent="0.3">
      <c r="A32" s="5">
        <v>160</v>
      </c>
      <c r="B32" s="5">
        <v>2.99</v>
      </c>
      <c r="C32" s="5">
        <v>2.98</v>
      </c>
      <c r="D32" s="5">
        <v>3.23</v>
      </c>
      <c r="E32" s="5">
        <v>3.28</v>
      </c>
      <c r="F32" s="5">
        <v>3.81</v>
      </c>
    </row>
    <row r="33" spans="1:6" ht="18.75" thickBot="1" x14ac:dyDescent="0.3">
      <c r="A33" s="5">
        <v>165</v>
      </c>
      <c r="B33" s="4">
        <v>3.01</v>
      </c>
      <c r="C33" s="4">
        <v>3</v>
      </c>
      <c r="D33" s="4">
        <v>3.25</v>
      </c>
      <c r="E33" s="4">
        <v>3.3</v>
      </c>
      <c r="F33" s="5">
        <v>3.81</v>
      </c>
    </row>
    <row r="34" spans="1:6" ht="18.75" thickBot="1" x14ac:dyDescent="0.3">
      <c r="A34" s="5">
        <v>170</v>
      </c>
      <c r="B34" s="4">
        <v>3.02</v>
      </c>
      <c r="C34" s="4">
        <v>3.03</v>
      </c>
      <c r="D34" s="4">
        <v>3.27</v>
      </c>
      <c r="E34" s="4">
        <v>3.33</v>
      </c>
      <c r="F34" s="5">
        <v>3.81</v>
      </c>
    </row>
    <row r="35" spans="1:6" ht="18.75" thickBot="1" x14ac:dyDescent="0.3">
      <c r="A35" s="4">
        <v>175</v>
      </c>
      <c r="B35" s="4">
        <v>3.04</v>
      </c>
      <c r="C35" s="4">
        <v>3.06</v>
      </c>
      <c r="D35" s="4">
        <v>3.29</v>
      </c>
      <c r="E35" s="4">
        <v>3.36</v>
      </c>
      <c r="F35" s="4">
        <v>3.81</v>
      </c>
    </row>
    <row r="36" spans="1:6" ht="18.75" thickBot="1" x14ac:dyDescent="0.3">
      <c r="A36" s="4">
        <v>180</v>
      </c>
      <c r="B36" s="4">
        <v>3.05</v>
      </c>
      <c r="C36" s="4">
        <v>3.08</v>
      </c>
      <c r="D36" s="4">
        <v>3.31</v>
      </c>
      <c r="E36" s="4">
        <v>3.4</v>
      </c>
      <c r="F36" s="4">
        <v>3.82</v>
      </c>
    </row>
    <row r="37" spans="1:6" ht="18.75" thickBot="1" x14ac:dyDescent="0.3">
      <c r="A37" s="4">
        <v>185</v>
      </c>
      <c r="B37" s="5">
        <v>3.07</v>
      </c>
      <c r="C37" s="5">
        <v>3.11</v>
      </c>
      <c r="D37" s="5">
        <v>3.34</v>
      </c>
      <c r="E37" s="5">
        <v>3.43</v>
      </c>
      <c r="F37" s="5">
        <v>3.83</v>
      </c>
    </row>
    <row r="38" spans="1:6" ht="18.75" thickBot="1" x14ac:dyDescent="0.3">
      <c r="A38" s="4">
        <v>190</v>
      </c>
      <c r="B38" s="5">
        <v>3.09</v>
      </c>
      <c r="C38" s="5">
        <v>3.13</v>
      </c>
      <c r="D38" s="5">
        <v>3.37</v>
      </c>
      <c r="E38" s="5">
        <v>3.47</v>
      </c>
      <c r="F38" s="5">
        <v>3.84</v>
      </c>
    </row>
    <row r="39" spans="1:6" ht="18.75" thickBot="1" x14ac:dyDescent="0.3">
      <c r="A39" s="5">
        <v>195</v>
      </c>
      <c r="B39" s="5">
        <v>3.11</v>
      </c>
      <c r="C39" s="5">
        <v>3.16</v>
      </c>
      <c r="D39" s="5">
        <v>3.4</v>
      </c>
      <c r="E39" s="5">
        <v>3.51</v>
      </c>
      <c r="F39" s="5">
        <v>3.86</v>
      </c>
    </row>
    <row r="40" spans="1:6" ht="18.75" thickBot="1" x14ac:dyDescent="0.3">
      <c r="A40" s="5">
        <v>200</v>
      </c>
      <c r="B40" s="5">
        <v>3.12</v>
      </c>
      <c r="C40" s="5">
        <v>3.19</v>
      </c>
      <c r="D40" s="5">
        <v>3.42</v>
      </c>
      <c r="E40" s="5">
        <v>3.55</v>
      </c>
      <c r="F40" s="5">
        <v>3.87</v>
      </c>
    </row>
    <row r="41" spans="1:6" ht="18.75" thickBot="1" x14ac:dyDescent="0.3">
      <c r="A41" s="4">
        <v>210</v>
      </c>
      <c r="B41" s="4">
        <v>3.14</v>
      </c>
      <c r="C41" s="4">
        <v>3.26</v>
      </c>
      <c r="D41" s="4">
        <v>3.48</v>
      </c>
      <c r="E41" s="4">
        <v>3.62</v>
      </c>
      <c r="F41" s="4">
        <v>3.89</v>
      </c>
    </row>
    <row r="42" spans="1:6" ht="18.75" thickBot="1" x14ac:dyDescent="0.3">
      <c r="A42" s="4">
        <v>220</v>
      </c>
      <c r="B42" s="4">
        <v>3.17</v>
      </c>
      <c r="C42" s="4">
        <v>3.32</v>
      </c>
      <c r="D42" s="4">
        <v>3.53</v>
      </c>
      <c r="E42" s="4">
        <v>3.7</v>
      </c>
      <c r="F42" s="4">
        <v>3.92</v>
      </c>
    </row>
    <row r="43" spans="1:6" ht="18.75" thickBot="1" x14ac:dyDescent="0.3">
      <c r="A43" s="5">
        <v>230</v>
      </c>
      <c r="B43" s="5">
        <v>3.21</v>
      </c>
      <c r="C43" s="5">
        <v>3.39</v>
      </c>
      <c r="D43" s="5">
        <v>3.8</v>
      </c>
      <c r="E43" s="5">
        <v>3.77</v>
      </c>
      <c r="F43" s="5">
        <v>3.95</v>
      </c>
    </row>
    <row r="44" spans="1:6" ht="18.75" thickBot="1" x14ac:dyDescent="0.3">
      <c r="A44" s="5">
        <v>240</v>
      </c>
      <c r="B44" s="5">
        <v>3.25</v>
      </c>
      <c r="C44" s="5">
        <v>3.45</v>
      </c>
      <c r="D44" s="5">
        <v>3.64</v>
      </c>
      <c r="E44" s="5">
        <v>3.84</v>
      </c>
      <c r="F44" s="5">
        <v>3.97</v>
      </c>
    </row>
    <row r="45" spans="1:6" ht="18.75" thickBot="1" x14ac:dyDescent="0.3">
      <c r="A45" s="4">
        <v>250</v>
      </c>
      <c r="B45" s="4">
        <v>3.35</v>
      </c>
      <c r="C45" s="4">
        <v>3.52</v>
      </c>
      <c r="D45" s="4">
        <v>3.69</v>
      </c>
      <c r="E45" s="4">
        <v>3.88</v>
      </c>
      <c r="F45" s="4">
        <v>4</v>
      </c>
    </row>
    <row r="46" spans="1:6" ht="18.75" thickBot="1" x14ac:dyDescent="0.3">
      <c r="A46" s="4">
        <v>260</v>
      </c>
      <c r="B46" s="4">
        <v>3.45</v>
      </c>
      <c r="C46" s="4">
        <v>3.58</v>
      </c>
      <c r="D46" s="4">
        <v>3.74</v>
      </c>
      <c r="E46" s="4">
        <v>3.93</v>
      </c>
      <c r="F46" s="4">
        <v>4.03</v>
      </c>
    </row>
    <row r="47" spans="1:6" ht="18.75" thickBot="1" x14ac:dyDescent="0.3">
      <c r="A47" s="5">
        <v>270</v>
      </c>
      <c r="B47" s="5">
        <v>3.55</v>
      </c>
      <c r="C47" s="5">
        <v>3.63</v>
      </c>
      <c r="D47" s="5">
        <v>3.78</v>
      </c>
      <c r="E47" s="5">
        <v>3.96</v>
      </c>
      <c r="F47" s="5">
        <v>4.07</v>
      </c>
    </row>
    <row r="48" spans="1:6" ht="18.75" thickBot="1" x14ac:dyDescent="0.3">
      <c r="A48" s="5">
        <v>280</v>
      </c>
      <c r="B48" s="5">
        <v>3.65</v>
      </c>
      <c r="C48" s="5">
        <v>3.69</v>
      </c>
      <c r="D48" s="5">
        <v>3.83</v>
      </c>
      <c r="E48" s="5">
        <v>4</v>
      </c>
      <c r="F48" s="5">
        <v>4.0999999999999996</v>
      </c>
    </row>
    <row r="49" spans="1:6" ht="18.75" thickBot="1" x14ac:dyDescent="0.3">
      <c r="A49" s="4">
        <v>290</v>
      </c>
      <c r="B49" s="4">
        <v>3.68</v>
      </c>
      <c r="C49" s="4">
        <v>3.74</v>
      </c>
      <c r="D49" s="4">
        <v>3.87</v>
      </c>
      <c r="E49" s="4">
        <v>4.0199999999999996</v>
      </c>
      <c r="F49" s="4">
        <v>4.1500000000000004</v>
      </c>
    </row>
    <row r="50" spans="1:6" ht="18.75" thickBot="1" x14ac:dyDescent="0.3">
      <c r="A50" s="4">
        <v>300</v>
      </c>
      <c r="B50" s="4">
        <v>3.71</v>
      </c>
      <c r="C50" s="4">
        <v>3.78</v>
      </c>
      <c r="D50" s="4">
        <v>3.9</v>
      </c>
      <c r="E50" s="4">
        <v>4.04</v>
      </c>
      <c r="F50" s="4">
        <v>4.2</v>
      </c>
    </row>
    <row r="51" spans="1:6" ht="18.75" thickBot="1" x14ac:dyDescent="0.3">
      <c r="A51" s="5">
        <v>320</v>
      </c>
      <c r="B51" s="5">
        <v>3.79</v>
      </c>
      <c r="C51" s="5">
        <v>3.84</v>
      </c>
      <c r="D51" s="5">
        <v>3.95</v>
      </c>
      <c r="E51" s="5">
        <v>4.12</v>
      </c>
      <c r="F51" s="5">
        <v>4.3099999999999996</v>
      </c>
    </row>
    <row r="52" spans="1:6" ht="18.75" thickBot="1" x14ac:dyDescent="0.3">
      <c r="A52" s="4">
        <v>340</v>
      </c>
      <c r="B52" s="4">
        <v>3.86</v>
      </c>
      <c r="C52" s="4">
        <v>3.88</v>
      </c>
      <c r="D52" s="4">
        <v>4.0199999999999996</v>
      </c>
      <c r="E52" s="4">
        <v>4.26</v>
      </c>
      <c r="F52" s="4">
        <v>4.4400000000000004</v>
      </c>
    </row>
    <row r="53" spans="1:6" ht="18.75" thickBot="1" x14ac:dyDescent="0.3">
      <c r="A53" s="5">
        <v>360</v>
      </c>
      <c r="B53" s="5">
        <v>3.92</v>
      </c>
      <c r="C53" s="5">
        <v>3.95</v>
      </c>
      <c r="D53" s="5">
        <v>4.1100000000000003</v>
      </c>
      <c r="E53" s="5">
        <v>4.41</v>
      </c>
      <c r="F53" s="5">
        <v>4.5599999999999996</v>
      </c>
    </row>
    <row r="54" spans="1:6" ht="18.75" thickBot="1" x14ac:dyDescent="0.3">
      <c r="A54" s="4">
        <v>380</v>
      </c>
      <c r="B54" s="4">
        <v>3.96</v>
      </c>
      <c r="C54" s="4">
        <v>4.03</v>
      </c>
      <c r="D54" s="4">
        <v>4.21</v>
      </c>
      <c r="E54" s="4">
        <v>4.55</v>
      </c>
      <c r="F54" s="4">
        <v>4.66</v>
      </c>
    </row>
    <row r="55" spans="1:6" ht="18.75" thickBot="1" x14ac:dyDescent="0.3">
      <c r="A55" s="5">
        <v>400</v>
      </c>
      <c r="B55" s="5">
        <v>3.99</v>
      </c>
      <c r="C55" s="5">
        <v>4.1100000000000003</v>
      </c>
      <c r="D55" s="5">
        <v>4.3</v>
      </c>
      <c r="E55" s="5">
        <v>4.6900000000000004</v>
      </c>
      <c r="F55" s="5">
        <v>4.75</v>
      </c>
    </row>
    <row r="56" spans="1:6" ht="18.75" thickBot="1" x14ac:dyDescent="0.3">
      <c r="A56" s="4">
        <v>420</v>
      </c>
      <c r="B56" s="4">
        <v>4.0199999999999996</v>
      </c>
      <c r="C56" s="4">
        <v>4.1500000000000004</v>
      </c>
      <c r="D56" s="4">
        <v>4.34</v>
      </c>
      <c r="E56" s="4">
        <v>4.7300000000000004</v>
      </c>
      <c r="F56" s="4">
        <v>4.79</v>
      </c>
    </row>
    <row r="57" spans="1:6" ht="18.75" thickBot="1" x14ac:dyDescent="0.3">
      <c r="A57" s="5">
        <v>440</v>
      </c>
      <c r="B57" s="5">
        <v>4.08</v>
      </c>
      <c r="C57" s="5">
        <v>4.2</v>
      </c>
      <c r="D57" s="5">
        <v>4.3899999999999997</v>
      </c>
      <c r="E57" s="5">
        <v>4.78</v>
      </c>
      <c r="F57" s="5">
        <v>4.84</v>
      </c>
    </row>
    <row r="58" spans="1:6" ht="18.75" thickBot="1" x14ac:dyDescent="0.3">
      <c r="A58" s="4">
        <v>460</v>
      </c>
      <c r="B58" s="4">
        <v>4.17</v>
      </c>
      <c r="C58" s="4">
        <v>4.29</v>
      </c>
      <c r="D58" s="4">
        <v>4.4800000000000004</v>
      </c>
      <c r="E58" s="4">
        <v>4.87</v>
      </c>
      <c r="F58" s="4">
        <v>4.93</v>
      </c>
    </row>
    <row r="59" spans="1:6" ht="18.75" thickBot="1" x14ac:dyDescent="0.3">
      <c r="A59" s="5">
        <v>480</v>
      </c>
      <c r="B59" s="5">
        <v>4.28</v>
      </c>
      <c r="C59" s="5">
        <v>4.4000000000000004</v>
      </c>
      <c r="D59" s="5">
        <v>4.59</v>
      </c>
      <c r="E59" s="5">
        <v>4.9800000000000004</v>
      </c>
      <c r="F59" s="5">
        <v>5.04</v>
      </c>
    </row>
    <row r="60" spans="1:6" ht="18.75" thickBot="1" x14ac:dyDescent="0.3">
      <c r="A60" s="4">
        <v>500</v>
      </c>
      <c r="B60" s="4">
        <v>4.41</v>
      </c>
      <c r="C60" s="4">
        <v>4.53</v>
      </c>
      <c r="D60" s="4">
        <v>4.72</v>
      </c>
      <c r="E60" s="4">
        <v>5.1100000000000003</v>
      </c>
      <c r="F60" s="4">
        <v>5.17</v>
      </c>
    </row>
    <row r="61" spans="1:6" ht="18.75" thickBot="1" x14ac:dyDescent="0.3">
      <c r="A61" s="5">
        <v>520</v>
      </c>
      <c r="B61" s="5">
        <v>4.54</v>
      </c>
      <c r="C61" s="5">
        <v>4.8499999999999996</v>
      </c>
      <c r="D61" s="5">
        <v>4.8499999999999996</v>
      </c>
      <c r="E61" s="5">
        <v>5.24</v>
      </c>
      <c r="F61" s="5">
        <v>5.3</v>
      </c>
    </row>
    <row r="62" spans="1:6" ht="18.75" thickBot="1" x14ac:dyDescent="0.3">
      <c r="A62" s="4">
        <v>540</v>
      </c>
      <c r="B62" s="4">
        <v>4.6500000000000004</v>
      </c>
      <c r="C62" s="4">
        <v>4.97</v>
      </c>
      <c r="D62" s="4">
        <v>4.97</v>
      </c>
      <c r="E62" s="4">
        <v>5.36</v>
      </c>
      <c r="F62" s="4">
        <v>5.42</v>
      </c>
    </row>
    <row r="63" spans="1:6" ht="18.75" thickBot="1" x14ac:dyDescent="0.3">
      <c r="A63" s="5">
        <v>560</v>
      </c>
      <c r="B63" s="5">
        <v>4.74</v>
      </c>
      <c r="C63" s="5">
        <v>5.05</v>
      </c>
      <c r="D63" s="5">
        <v>5.05</v>
      </c>
      <c r="E63" s="5">
        <v>5.44</v>
      </c>
      <c r="F63" s="5">
        <v>5.5</v>
      </c>
    </row>
    <row r="64" spans="1:6" ht="18.75" thickBot="1" x14ac:dyDescent="0.3">
      <c r="A64" s="4">
        <v>580</v>
      </c>
      <c r="B64" s="4">
        <v>4.79</v>
      </c>
      <c r="C64" s="4">
        <v>5.0999999999999996</v>
      </c>
      <c r="D64" s="4">
        <v>5.0999999999999996</v>
      </c>
      <c r="E64" s="4">
        <v>5.49</v>
      </c>
      <c r="F64" s="4">
        <v>5.55</v>
      </c>
    </row>
    <row r="65" spans="1:6" ht="18.75" thickBot="1" x14ac:dyDescent="0.3">
      <c r="A65" s="5">
        <v>600</v>
      </c>
      <c r="B65" s="5">
        <v>4.82</v>
      </c>
      <c r="C65" s="5">
        <v>5.13</v>
      </c>
      <c r="D65" s="5">
        <v>5.13</v>
      </c>
      <c r="E65" s="5">
        <v>5.52</v>
      </c>
      <c r="F65" s="5">
        <v>5.58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B42E-F800-4FEE-88A8-AA172C5A87ED}">
  <dimension ref="A1:W65"/>
  <sheetViews>
    <sheetView workbookViewId="0">
      <selection sqref="A1:F65"/>
    </sheetView>
  </sheetViews>
  <sheetFormatPr defaultRowHeight="15" x14ac:dyDescent="0.25"/>
  <cols>
    <col min="1" max="1" width="9.7109375" customWidth="1"/>
    <col min="9" max="9" width="9.5703125" bestFit="1" customWidth="1"/>
    <col min="12" max="12" width="14.7109375" bestFit="1" customWidth="1"/>
    <col min="13" max="13" width="16.42578125" bestFit="1" customWidth="1"/>
    <col min="17" max="17" width="10.5703125" bestFit="1" customWidth="1"/>
    <col min="22" max="22" width="16.42578125" bestFit="1" customWidth="1"/>
    <col min="23" max="23" width="15.7109375" bestFit="1" customWidth="1"/>
  </cols>
  <sheetData>
    <row r="1" spans="1:23" x14ac:dyDescent="0.25">
      <c r="A1" t="str">
        <f>source!A1</f>
        <v>DISTANCE</v>
      </c>
      <c r="B1" t="str">
        <f>source!B1</f>
        <v>TEE</v>
      </c>
      <c r="C1" t="str">
        <f>source!C1</f>
        <v>FAIRWAY</v>
      </c>
      <c r="D1" t="str">
        <f>source!D1</f>
        <v>ROUGH</v>
      </c>
      <c r="E1" t="str">
        <f>source!E1</f>
        <v>SAND</v>
      </c>
      <c r="F1" t="str">
        <f>source!F1</f>
        <v>RECOVERY</v>
      </c>
      <c r="I1" t="str">
        <f>source!I1</f>
        <v>DISTANCE</v>
      </c>
      <c r="J1" t="str">
        <f>source!J1</f>
        <v>GREEN</v>
      </c>
      <c r="L1" t="s">
        <v>13</v>
      </c>
      <c r="M1" t="s">
        <v>14</v>
      </c>
      <c r="P1" t="str">
        <f>source!P1</f>
        <v>TEE</v>
      </c>
      <c r="Q1" t="str">
        <f>source!Q1</f>
        <v>APPROACH</v>
      </c>
      <c r="R1" t="str">
        <f>source!R1</f>
        <v>SHORT</v>
      </c>
      <c r="S1" t="str">
        <f>source!S1</f>
        <v>PUTT</v>
      </c>
      <c r="V1" t="s">
        <v>11</v>
      </c>
      <c r="W1" t="s">
        <v>12</v>
      </c>
    </row>
    <row r="2" spans="1:23" x14ac:dyDescent="0.25">
      <c r="A2">
        <f>source!A2/metric!$W$2</f>
        <v>9.1439999861011216</v>
      </c>
      <c r="B2" s="14">
        <v>2.74</v>
      </c>
      <c r="C2">
        <f>source!C2</f>
        <v>2.2000000000000002</v>
      </c>
      <c r="D2">
        <f>source!D2</f>
        <v>2.4900000000000002</v>
      </c>
      <c r="E2">
        <f>source!E2</f>
        <v>2.41</v>
      </c>
      <c r="F2" s="14">
        <v>3.5</v>
      </c>
      <c r="I2">
        <f>source!I2/metric!$V$2</f>
        <v>0.304799999536704</v>
      </c>
      <c r="J2">
        <f>source!J2</f>
        <v>1</v>
      </c>
      <c r="M2" s="12">
        <f>SUM(C2:E2)/3</f>
        <v>2.3666666666666667</v>
      </c>
      <c r="O2" t="str">
        <f>source!O2</f>
        <v>scratch</v>
      </c>
      <c r="P2">
        <f>source!P2</f>
        <v>1.78</v>
      </c>
      <c r="Q2">
        <f>source!Q2</f>
        <v>2.0299999999999998</v>
      </c>
      <c r="R2">
        <f>source!R2</f>
        <v>0.39</v>
      </c>
      <c r="S2">
        <f>source!S2</f>
        <v>0.94</v>
      </c>
      <c r="V2">
        <v>3.2808399000000001</v>
      </c>
      <c r="W2">
        <v>1.0936132999999999</v>
      </c>
    </row>
    <row r="3" spans="1:23" x14ac:dyDescent="0.25">
      <c r="A3">
        <f>source!A3/metric!$W$2</f>
        <v>13.715999979151681</v>
      </c>
      <c r="B3" s="14">
        <v>2.75</v>
      </c>
      <c r="C3">
        <f>source!C3</f>
        <v>2.2999999999999998</v>
      </c>
      <c r="D3">
        <f>source!D3</f>
        <v>2.54</v>
      </c>
      <c r="E3">
        <f>source!E3</f>
        <v>2.4700000000000002</v>
      </c>
      <c r="F3" s="14">
        <v>3.5</v>
      </c>
      <c r="I3">
        <f>source!I3/metric!$V$2</f>
        <v>0.91439999861011201</v>
      </c>
      <c r="J3">
        <f>source!J3</f>
        <v>1.04</v>
      </c>
      <c r="M3" s="12">
        <f t="shared" ref="M3:M19" si="0">SUM(C3:E3)/3</f>
        <v>2.436666666666667</v>
      </c>
      <c r="O3">
        <f>source!O3</f>
        <v>5</v>
      </c>
      <c r="P3">
        <f>source!P3</f>
        <v>3.31</v>
      </c>
      <c r="Q3">
        <f>source!Q3</f>
        <v>4.29</v>
      </c>
      <c r="R3">
        <f>source!R3</f>
        <v>0.97</v>
      </c>
      <c r="S3">
        <f>source!S3</f>
        <v>1.42</v>
      </c>
    </row>
    <row r="4" spans="1:23" x14ac:dyDescent="0.25">
      <c r="A4">
        <f>source!A4/metric!$W$2</f>
        <v>18.287999972202243</v>
      </c>
      <c r="B4" s="14">
        <v>2.76</v>
      </c>
      <c r="C4">
        <f>source!C4</f>
        <v>2.4</v>
      </c>
      <c r="D4">
        <f>source!D4</f>
        <v>2.59</v>
      </c>
      <c r="E4">
        <f>source!E4</f>
        <v>2.5299999999999998</v>
      </c>
      <c r="F4" s="14">
        <v>3.5</v>
      </c>
      <c r="I4">
        <f>source!I4/metric!$V$2</f>
        <v>1.219199998146816</v>
      </c>
      <c r="J4">
        <f>source!J4</f>
        <v>1.1299999999999999</v>
      </c>
      <c r="M4" s="12">
        <f t="shared" si="0"/>
        <v>2.5066666666666664</v>
      </c>
      <c r="O4">
        <f>source!O4</f>
        <v>10</v>
      </c>
      <c r="P4">
        <f>source!P4</f>
        <v>3.61</v>
      </c>
      <c r="Q4">
        <f>source!Q4</f>
        <v>6.11</v>
      </c>
      <c r="R4">
        <f>source!R4</f>
        <v>1.33</v>
      </c>
      <c r="S4">
        <f>source!S4</f>
        <v>2.77</v>
      </c>
    </row>
    <row r="5" spans="1:23" x14ac:dyDescent="0.25">
      <c r="A5">
        <f>source!A5/metric!$W$2</f>
        <v>22.859999965252801</v>
      </c>
      <c r="B5" s="14">
        <v>2.77</v>
      </c>
      <c r="C5">
        <f>source!C5</f>
        <v>2.4500000000000002</v>
      </c>
      <c r="D5">
        <f>source!D5</f>
        <v>2.64</v>
      </c>
      <c r="E5">
        <f>source!E5</f>
        <v>2.59</v>
      </c>
      <c r="F5" s="14">
        <v>3.55</v>
      </c>
      <c r="I5">
        <f>source!I5/metric!$V$2</f>
        <v>1.5239999976835199</v>
      </c>
      <c r="J5">
        <f>source!J5</f>
        <v>1.23</v>
      </c>
      <c r="M5" s="12">
        <f t="shared" si="0"/>
        <v>2.56</v>
      </c>
      <c r="O5">
        <f>source!O5</f>
        <v>15</v>
      </c>
      <c r="P5">
        <f>source!P5</f>
        <v>4.8600000000000003</v>
      </c>
      <c r="Q5">
        <f>source!Q5</f>
        <v>8.5399999999999991</v>
      </c>
      <c r="R5">
        <f>source!R5</f>
        <v>4.46</v>
      </c>
      <c r="S5">
        <f>source!S5</f>
        <v>4.46</v>
      </c>
    </row>
    <row r="6" spans="1:23" x14ac:dyDescent="0.25">
      <c r="A6">
        <f>source!A6/metric!$W$2</f>
        <v>27.431999958303361</v>
      </c>
      <c r="B6" s="14">
        <v>2.78</v>
      </c>
      <c r="C6">
        <f>source!C6</f>
        <v>2.5</v>
      </c>
      <c r="D6">
        <f>source!D6</f>
        <v>2.69</v>
      </c>
      <c r="E6">
        <f>source!E6</f>
        <v>2.67</v>
      </c>
      <c r="F6" s="14">
        <v>3.55</v>
      </c>
      <c r="I6">
        <f>source!I6/metric!$V$2</f>
        <v>1.828799997220224</v>
      </c>
      <c r="J6">
        <f>source!J6</f>
        <v>1.34</v>
      </c>
      <c r="M6" s="12">
        <f t="shared" si="0"/>
        <v>2.6199999999999997</v>
      </c>
      <c r="O6">
        <f>source!O6</f>
        <v>20</v>
      </c>
      <c r="P6">
        <f>source!P6</f>
        <v>5.75</v>
      </c>
      <c r="Q6">
        <f>source!Q6</f>
        <v>11.26</v>
      </c>
      <c r="R6">
        <f>source!R6</f>
        <v>4.4800000000000004</v>
      </c>
      <c r="S6">
        <f>source!S6</f>
        <v>4.4800000000000004</v>
      </c>
    </row>
    <row r="7" spans="1:23" x14ac:dyDescent="0.25">
      <c r="A7">
        <f>source!A7/metric!$W$2</f>
        <v>32.003999951353926</v>
      </c>
      <c r="B7" s="14">
        <v>2.79</v>
      </c>
      <c r="C7">
        <f>source!C7</f>
        <v>2.5499999999999998</v>
      </c>
      <c r="D7">
        <f>source!D7</f>
        <v>2.74</v>
      </c>
      <c r="E7">
        <f>source!E7</f>
        <v>2.76</v>
      </c>
      <c r="F7" s="14">
        <v>3.55</v>
      </c>
      <c r="I7">
        <f>source!I7/metric!$V$2</f>
        <v>2.1335999967569279</v>
      </c>
      <c r="J7">
        <f>source!J7</f>
        <v>1.42</v>
      </c>
      <c r="M7" s="12">
        <f t="shared" si="0"/>
        <v>2.6833333333333336</v>
      </c>
      <c r="O7">
        <f>source!O7</f>
        <v>25</v>
      </c>
      <c r="P7">
        <f>source!P7</f>
        <v>7.53</v>
      </c>
      <c r="Q7">
        <f>source!Q7</f>
        <v>14.23</v>
      </c>
      <c r="R7">
        <f>source!R7</f>
        <v>4.71</v>
      </c>
      <c r="S7">
        <f>source!S7</f>
        <v>4.71</v>
      </c>
    </row>
    <row r="8" spans="1:23" x14ac:dyDescent="0.25">
      <c r="A8">
        <f>source!A8/metric!$W$2</f>
        <v>36.575999944404487</v>
      </c>
      <c r="B8" s="14">
        <v>2.8</v>
      </c>
      <c r="C8">
        <f>source!C8</f>
        <v>2.6</v>
      </c>
      <c r="D8">
        <f>source!D8</f>
        <v>2.78</v>
      </c>
      <c r="E8">
        <f>source!E8</f>
        <v>2.82</v>
      </c>
      <c r="F8" s="14">
        <v>3.6</v>
      </c>
      <c r="I8">
        <f>source!I8/metric!$V$2</f>
        <v>2.438399996293632</v>
      </c>
      <c r="J8">
        <f>source!J8</f>
        <v>1.5</v>
      </c>
      <c r="M8" s="12">
        <f t="shared" si="0"/>
        <v>2.7333333333333329</v>
      </c>
    </row>
    <row r="9" spans="1:23" x14ac:dyDescent="0.25">
      <c r="A9">
        <f>source!A9/metric!$W$2</f>
        <v>41.147999937455047</v>
      </c>
      <c r="B9" s="14">
        <v>2.81</v>
      </c>
      <c r="C9">
        <f>source!C9</f>
        <v>2.62</v>
      </c>
      <c r="D9">
        <f>source!D9</f>
        <v>2.82</v>
      </c>
      <c r="E9">
        <f>source!E9</f>
        <v>2.9</v>
      </c>
      <c r="F9" s="14">
        <v>3.6</v>
      </c>
      <c r="I9">
        <f>source!I9/metric!$V$2</f>
        <v>2.7431999958303357</v>
      </c>
      <c r="J9">
        <f>source!J9</f>
        <v>1.56</v>
      </c>
      <c r="M9" s="12">
        <f t="shared" si="0"/>
        <v>2.78</v>
      </c>
      <c r="V9" s="14" t="s">
        <v>15</v>
      </c>
    </row>
    <row r="10" spans="1:23" x14ac:dyDescent="0.25">
      <c r="A10">
        <f>source!A10/metric!$W$2</f>
        <v>45.719999930505601</v>
      </c>
      <c r="B10" s="14">
        <v>2.82</v>
      </c>
      <c r="C10">
        <f>source!C10</f>
        <v>2.65</v>
      </c>
      <c r="D10">
        <f>source!D10</f>
        <v>2.85</v>
      </c>
      <c r="E10">
        <f>source!E10</f>
        <v>2.98</v>
      </c>
      <c r="F10" s="14">
        <v>3.6</v>
      </c>
      <c r="I10">
        <f>source!I10/metric!$V$2</f>
        <v>3.0479999953670398</v>
      </c>
      <c r="J10">
        <f>source!J10</f>
        <v>1.61</v>
      </c>
      <c r="M10" s="12">
        <f t="shared" si="0"/>
        <v>2.8266666666666667</v>
      </c>
    </row>
    <row r="11" spans="1:23" x14ac:dyDescent="0.25">
      <c r="A11">
        <f>source!A11/metric!$W$2</f>
        <v>50.291999923556162</v>
      </c>
      <c r="B11" s="14">
        <v>2.83</v>
      </c>
      <c r="C11">
        <f>source!C11</f>
        <v>2.67</v>
      </c>
      <c r="D11">
        <f>source!D11</f>
        <v>2.88</v>
      </c>
      <c r="E11">
        <f>source!E11</f>
        <v>3.07</v>
      </c>
      <c r="F11" s="14">
        <v>3.65</v>
      </c>
      <c r="I11">
        <f>source!I11/metric!$V$2</f>
        <v>4.5719999930505599</v>
      </c>
      <c r="J11">
        <f>source!J11</f>
        <v>1.78</v>
      </c>
      <c r="M11" s="12">
        <f t="shared" si="0"/>
        <v>2.8733333333333331</v>
      </c>
    </row>
    <row r="12" spans="1:23" x14ac:dyDescent="0.25">
      <c r="A12">
        <f>source!A12/metric!$W$2</f>
        <v>54.863999916606723</v>
      </c>
      <c r="B12" s="14">
        <v>2.84</v>
      </c>
      <c r="C12">
        <f>source!C12</f>
        <v>2.7</v>
      </c>
      <c r="D12">
        <f>source!D12</f>
        <v>2.91</v>
      </c>
      <c r="E12">
        <f>source!E12</f>
        <v>3.15</v>
      </c>
      <c r="F12" s="14">
        <v>3.65</v>
      </c>
      <c r="I12">
        <f>source!I12/metric!$V$2</f>
        <v>6.0959999907340796</v>
      </c>
      <c r="J12">
        <f>source!J12</f>
        <v>1.87</v>
      </c>
      <c r="M12" s="12">
        <f t="shared" si="0"/>
        <v>2.92</v>
      </c>
    </row>
    <row r="13" spans="1:23" x14ac:dyDescent="0.25">
      <c r="A13">
        <f>source!A13/metric!$W$2</f>
        <v>59.435999909657284</v>
      </c>
      <c r="B13" s="14">
        <v>2.85</v>
      </c>
      <c r="C13">
        <f>source!C13</f>
        <v>2.72</v>
      </c>
      <c r="D13">
        <f>source!D13</f>
        <v>2.92</v>
      </c>
      <c r="E13">
        <f>source!E13</f>
        <v>3.17</v>
      </c>
      <c r="F13" s="14">
        <v>3.65</v>
      </c>
      <c r="I13">
        <f>source!I13/metric!$V$2</f>
        <v>9.1439999861011199</v>
      </c>
      <c r="J13">
        <f>source!J13</f>
        <v>1.98</v>
      </c>
      <c r="M13" s="12">
        <f t="shared" si="0"/>
        <v>2.936666666666667</v>
      </c>
    </row>
    <row r="14" spans="1:23" x14ac:dyDescent="0.25">
      <c r="A14">
        <f>source!A14/metric!$W$2</f>
        <v>64.007999902707851</v>
      </c>
      <c r="B14" s="14">
        <v>2.86</v>
      </c>
      <c r="C14">
        <f>source!C14</f>
        <v>2.73</v>
      </c>
      <c r="D14">
        <f>source!D14</f>
        <v>2.93</v>
      </c>
      <c r="E14">
        <f>source!E14</f>
        <v>3.19</v>
      </c>
      <c r="F14" s="14">
        <v>3.7</v>
      </c>
      <c r="I14">
        <f>source!I14/metric!$V$2</f>
        <v>12.191999981468159</v>
      </c>
      <c r="J14">
        <f>source!J14</f>
        <v>2.06</v>
      </c>
      <c r="M14" s="12">
        <f t="shared" si="0"/>
        <v>2.9499999999999997</v>
      </c>
    </row>
    <row r="15" spans="1:23" x14ac:dyDescent="0.25">
      <c r="A15">
        <f>source!A15/metric!$W$2</f>
        <v>68.579999895758405</v>
      </c>
      <c r="B15" s="14">
        <v>2.87</v>
      </c>
      <c r="C15">
        <f>source!C15</f>
        <v>2.74</v>
      </c>
      <c r="D15">
        <f>source!D15</f>
        <v>2.95</v>
      </c>
      <c r="E15">
        <f>source!E15</f>
        <v>3.22</v>
      </c>
      <c r="F15" s="14">
        <v>3.7</v>
      </c>
      <c r="I15">
        <f>source!I15/metric!$V$2</f>
        <v>15.239999976835199</v>
      </c>
      <c r="J15">
        <f>source!J15</f>
        <v>2.14</v>
      </c>
      <c r="M15" s="12">
        <f t="shared" si="0"/>
        <v>2.97</v>
      </c>
    </row>
    <row r="16" spans="1:23" x14ac:dyDescent="0.25">
      <c r="A16">
        <f>source!A16/metric!$W$2</f>
        <v>73.151999888808973</v>
      </c>
      <c r="B16" s="14">
        <v>2.88</v>
      </c>
      <c r="C16">
        <f>source!C16</f>
        <v>2.75</v>
      </c>
      <c r="D16">
        <f>source!D16</f>
        <v>2.96</v>
      </c>
      <c r="E16">
        <f>source!E16</f>
        <v>3.24</v>
      </c>
      <c r="F16" s="14">
        <v>3.7</v>
      </c>
      <c r="I16">
        <f>source!I16/metric!$V$2</f>
        <v>18.28799997220224</v>
      </c>
      <c r="J16">
        <f>source!J16</f>
        <v>2.21</v>
      </c>
      <c r="M16" s="12">
        <f t="shared" si="0"/>
        <v>2.9833333333333329</v>
      </c>
    </row>
    <row r="17" spans="1:13" x14ac:dyDescent="0.25">
      <c r="A17">
        <f>source!A17/metric!$W$2</f>
        <v>77.723999881859527</v>
      </c>
      <c r="B17" s="14">
        <v>2.89</v>
      </c>
      <c r="C17">
        <f>source!C17</f>
        <v>2.77</v>
      </c>
      <c r="D17">
        <f>source!D17</f>
        <v>2.97</v>
      </c>
      <c r="E17">
        <f>source!E17</f>
        <v>3.24</v>
      </c>
      <c r="F17" s="14">
        <v>3.75</v>
      </c>
      <c r="I17">
        <f>source!I17/metric!$V$2</f>
        <v>27.431999958303358</v>
      </c>
      <c r="J17">
        <f>source!J17</f>
        <v>2.4</v>
      </c>
      <c r="M17" s="12">
        <f t="shared" si="0"/>
        <v>2.9933333333333336</v>
      </c>
    </row>
    <row r="18" spans="1:13" x14ac:dyDescent="0.25">
      <c r="A18">
        <f>source!A18/metric!$W$2</f>
        <v>82.295999874910095</v>
      </c>
      <c r="B18" s="14">
        <v>2.9</v>
      </c>
      <c r="C18">
        <f>source!C18</f>
        <v>2.78</v>
      </c>
      <c r="D18">
        <f>source!D18</f>
        <v>2.99</v>
      </c>
      <c r="E18">
        <f>source!E18</f>
        <v>3.23</v>
      </c>
      <c r="F18" s="14">
        <v>3.75</v>
      </c>
      <c r="M18" s="12">
        <f t="shared" si="0"/>
        <v>3</v>
      </c>
    </row>
    <row r="19" spans="1:13" x14ac:dyDescent="0.25">
      <c r="A19">
        <f>source!A19/metric!$W$2</f>
        <v>86.867999867960648</v>
      </c>
      <c r="B19" s="14">
        <v>2.91</v>
      </c>
      <c r="C19">
        <f>source!C19</f>
        <v>2.79</v>
      </c>
      <c r="D19">
        <f>source!D19</f>
        <v>3.01</v>
      </c>
      <c r="E19">
        <f>source!E19</f>
        <v>3.23</v>
      </c>
      <c r="F19" s="14">
        <v>3.75</v>
      </c>
      <c r="M19" s="12">
        <f t="shared" si="0"/>
        <v>3.01</v>
      </c>
    </row>
    <row r="20" spans="1:13" x14ac:dyDescent="0.25">
      <c r="A20">
        <f>source!A20/metric!$W$2</f>
        <v>91.439999861011202</v>
      </c>
      <c r="B20">
        <f>source!B20</f>
        <v>2.92</v>
      </c>
      <c r="C20">
        <f>source!C20</f>
        <v>2.8</v>
      </c>
      <c r="D20">
        <f>source!D20</f>
        <v>3.02</v>
      </c>
      <c r="E20">
        <f>source!E20</f>
        <v>3.23</v>
      </c>
      <c r="F20">
        <f>source!F20</f>
        <v>3.8</v>
      </c>
      <c r="L20" s="13">
        <f>SUM(C20:E20)/3</f>
        <v>3.0166666666666671</v>
      </c>
    </row>
    <row r="21" spans="1:13" x14ac:dyDescent="0.25">
      <c r="A21">
        <f>source!A21/metric!$W$2</f>
        <v>96.01199985406177</v>
      </c>
      <c r="B21">
        <f>source!B21</f>
        <v>2.93</v>
      </c>
      <c r="C21">
        <f>source!C21</f>
        <v>2.81</v>
      </c>
      <c r="D21">
        <f>source!D21</f>
        <v>3.03</v>
      </c>
      <c r="E21">
        <f>source!E21</f>
        <v>3.23</v>
      </c>
      <c r="F21">
        <f>source!F21</f>
        <v>3.8</v>
      </c>
      <c r="L21" s="13">
        <f t="shared" ref="L21:L65" si="1">SUM(C21:E21)/3</f>
        <v>3.0233333333333334</v>
      </c>
    </row>
    <row r="22" spans="1:13" x14ac:dyDescent="0.25">
      <c r="A22">
        <f>source!A22/metric!$W$2</f>
        <v>100.58399984711232</v>
      </c>
      <c r="B22">
        <f>source!B22</f>
        <v>2.95</v>
      </c>
      <c r="C22">
        <f>source!C22</f>
        <v>2.83</v>
      </c>
      <c r="D22">
        <f>source!D22</f>
        <v>3.04</v>
      </c>
      <c r="E22">
        <f>source!E22</f>
        <v>3.22</v>
      </c>
      <c r="F22">
        <f>source!F22</f>
        <v>3.8</v>
      </c>
      <c r="L22" s="13">
        <f t="shared" si="1"/>
        <v>3.03</v>
      </c>
    </row>
    <row r="23" spans="1:13" x14ac:dyDescent="0.25">
      <c r="A23">
        <f>source!A23/metric!$W$2</f>
        <v>105.15599984016289</v>
      </c>
      <c r="B23">
        <f>source!B23</f>
        <v>2.97</v>
      </c>
      <c r="C23">
        <f>source!C23</f>
        <v>2.84</v>
      </c>
      <c r="D23">
        <f>source!D23</f>
        <v>3.06</v>
      </c>
      <c r="E23">
        <f>source!E23</f>
        <v>3.21</v>
      </c>
      <c r="F23">
        <f>source!F23</f>
        <v>3.8</v>
      </c>
      <c r="L23" s="13">
        <f t="shared" si="1"/>
        <v>3.0366666666666666</v>
      </c>
    </row>
    <row r="24" spans="1:13" x14ac:dyDescent="0.25">
      <c r="A24">
        <f>source!A24/metric!$W$2</f>
        <v>109.72799983321345</v>
      </c>
      <c r="B24">
        <f>source!B24</f>
        <v>2.99</v>
      </c>
      <c r="C24">
        <f>source!C24</f>
        <v>2.85</v>
      </c>
      <c r="D24">
        <f>source!D24</f>
        <v>3.08</v>
      </c>
      <c r="E24">
        <f>source!E24</f>
        <v>3.21</v>
      </c>
      <c r="F24">
        <f>source!F24</f>
        <v>3.78</v>
      </c>
      <c r="L24" s="13">
        <f t="shared" si="1"/>
        <v>3.0466666666666669</v>
      </c>
    </row>
    <row r="25" spans="1:13" x14ac:dyDescent="0.25">
      <c r="A25">
        <f>source!A25/metric!$W$2</f>
        <v>114.29999982626401</v>
      </c>
      <c r="B25">
        <f>source!B25</f>
        <v>2.99</v>
      </c>
      <c r="C25">
        <f>source!C25</f>
        <v>2.86</v>
      </c>
      <c r="D25">
        <f>source!D25</f>
        <v>3.09</v>
      </c>
      <c r="E25">
        <f>source!E25</f>
        <v>3.21</v>
      </c>
      <c r="F25">
        <f>source!F25</f>
        <v>3.78</v>
      </c>
      <c r="L25" s="13">
        <f t="shared" si="1"/>
        <v>3.0533333333333332</v>
      </c>
    </row>
    <row r="26" spans="1:13" x14ac:dyDescent="0.25">
      <c r="A26">
        <f>source!A26/metric!$W$2</f>
        <v>118.87199981931457</v>
      </c>
      <c r="B26">
        <f>source!B26</f>
        <v>2.97</v>
      </c>
      <c r="C26">
        <f>source!C26</f>
        <v>2.88</v>
      </c>
      <c r="D26">
        <f>source!D26</f>
        <v>3.11</v>
      </c>
      <c r="E26">
        <f>source!E26</f>
        <v>3.21</v>
      </c>
      <c r="F26">
        <f>source!F26</f>
        <v>3.78</v>
      </c>
      <c r="L26" s="13">
        <f t="shared" si="1"/>
        <v>3.0666666666666664</v>
      </c>
    </row>
    <row r="27" spans="1:13" x14ac:dyDescent="0.25">
      <c r="A27">
        <f>source!A27/metric!$W$2</f>
        <v>123.44399981236513</v>
      </c>
      <c r="B27">
        <f>source!B27</f>
        <v>2.97</v>
      </c>
      <c r="C27">
        <f>source!C27</f>
        <v>2.9</v>
      </c>
      <c r="D27">
        <f>source!D27</f>
        <v>3.13</v>
      </c>
      <c r="E27">
        <f>source!E27</f>
        <v>3.22</v>
      </c>
      <c r="F27">
        <f>source!F27</f>
        <v>3.78</v>
      </c>
      <c r="L27" s="13">
        <f t="shared" si="1"/>
        <v>3.0833333333333335</v>
      </c>
    </row>
    <row r="28" spans="1:13" x14ac:dyDescent="0.25">
      <c r="A28">
        <f>source!A28/metric!$W$2</f>
        <v>128.0159998054157</v>
      </c>
      <c r="B28">
        <f>source!B28</f>
        <v>2.97</v>
      </c>
      <c r="C28">
        <f>source!C28</f>
        <v>2.91</v>
      </c>
      <c r="D28">
        <f>source!D28</f>
        <v>3.15</v>
      </c>
      <c r="E28">
        <f>source!E28</f>
        <v>3.22</v>
      </c>
      <c r="F28">
        <f>source!F28</f>
        <v>3.8</v>
      </c>
      <c r="L28" s="13">
        <f t="shared" si="1"/>
        <v>3.0933333333333337</v>
      </c>
    </row>
    <row r="29" spans="1:13" x14ac:dyDescent="0.25">
      <c r="A29">
        <f>source!A29/metric!$W$2</f>
        <v>132.58799979846626</v>
      </c>
      <c r="B29">
        <f>source!B29</f>
        <v>2.97</v>
      </c>
      <c r="C29">
        <f>source!C29</f>
        <v>2.93</v>
      </c>
      <c r="D29">
        <f>source!D29</f>
        <v>3.17</v>
      </c>
      <c r="E29">
        <f>source!E29</f>
        <v>3.23</v>
      </c>
      <c r="F29">
        <f>source!F29</f>
        <v>3.8</v>
      </c>
      <c r="L29" s="13">
        <f t="shared" si="1"/>
        <v>3.11</v>
      </c>
    </row>
    <row r="30" spans="1:13" x14ac:dyDescent="0.25">
      <c r="A30">
        <f>source!A30/metric!$W$2</f>
        <v>137.15999979151681</v>
      </c>
      <c r="B30">
        <f>source!B30</f>
        <v>2.99</v>
      </c>
      <c r="C30">
        <f>source!C30</f>
        <v>2.95</v>
      </c>
      <c r="D30">
        <f>source!D30</f>
        <v>3.19</v>
      </c>
      <c r="E30">
        <f>source!E30</f>
        <v>3.25</v>
      </c>
      <c r="F30">
        <f>source!F30</f>
        <v>3.8</v>
      </c>
      <c r="L30" s="13">
        <f t="shared" si="1"/>
        <v>3.1300000000000003</v>
      </c>
    </row>
    <row r="31" spans="1:13" x14ac:dyDescent="0.25">
      <c r="A31">
        <f>source!A31/metric!$W$2</f>
        <v>141.73199978456736</v>
      </c>
      <c r="B31">
        <f>source!B31</f>
        <v>2.99</v>
      </c>
      <c r="C31">
        <f>source!C31</f>
        <v>2.97</v>
      </c>
      <c r="D31">
        <f>source!D31</f>
        <v>3.21</v>
      </c>
      <c r="E31">
        <f>source!E31</f>
        <v>3.26</v>
      </c>
      <c r="F31">
        <f>source!F31</f>
        <v>3.8</v>
      </c>
      <c r="L31" s="13">
        <f t="shared" si="1"/>
        <v>3.1466666666666665</v>
      </c>
    </row>
    <row r="32" spans="1:13" x14ac:dyDescent="0.25">
      <c r="A32">
        <f>source!A32/metric!$W$2</f>
        <v>146.30399977761795</v>
      </c>
      <c r="B32">
        <f>source!B32</f>
        <v>2.99</v>
      </c>
      <c r="C32">
        <f>source!C32</f>
        <v>2.98</v>
      </c>
      <c r="D32">
        <f>source!D32</f>
        <v>3.23</v>
      </c>
      <c r="E32">
        <f>source!E32</f>
        <v>3.28</v>
      </c>
      <c r="F32">
        <f>source!F32</f>
        <v>3.81</v>
      </c>
      <c r="L32" s="13">
        <f t="shared" si="1"/>
        <v>3.1633333333333336</v>
      </c>
    </row>
    <row r="33" spans="1:12" x14ac:dyDescent="0.25">
      <c r="A33">
        <f>source!A33/metric!$W$2</f>
        <v>150.8759997706685</v>
      </c>
      <c r="B33">
        <f>source!B33</f>
        <v>3.01</v>
      </c>
      <c r="C33">
        <f>source!C33</f>
        <v>3</v>
      </c>
      <c r="D33">
        <f>source!D33</f>
        <v>3.25</v>
      </c>
      <c r="E33">
        <f>source!E33</f>
        <v>3.3</v>
      </c>
      <c r="F33">
        <f>source!F33</f>
        <v>3.81</v>
      </c>
      <c r="L33" s="13">
        <f t="shared" si="1"/>
        <v>3.1833333333333336</v>
      </c>
    </row>
    <row r="34" spans="1:12" x14ac:dyDescent="0.25">
      <c r="A34">
        <f>source!A34/metric!$W$2</f>
        <v>155.44799976371905</v>
      </c>
      <c r="B34">
        <f>source!B34</f>
        <v>3.02</v>
      </c>
      <c r="C34">
        <f>source!C34</f>
        <v>3.03</v>
      </c>
      <c r="D34">
        <f>source!D34</f>
        <v>3.27</v>
      </c>
      <c r="E34">
        <f>source!E34</f>
        <v>3.33</v>
      </c>
      <c r="F34">
        <f>source!F34</f>
        <v>3.81</v>
      </c>
      <c r="L34" s="13">
        <f t="shared" si="1"/>
        <v>3.2099999999999995</v>
      </c>
    </row>
    <row r="35" spans="1:12" x14ac:dyDescent="0.25">
      <c r="A35">
        <f>source!A35/metric!$W$2</f>
        <v>160.01999975676961</v>
      </c>
      <c r="B35">
        <f>source!B35</f>
        <v>3.04</v>
      </c>
      <c r="C35">
        <f>source!C35</f>
        <v>3.06</v>
      </c>
      <c r="D35">
        <f>source!D35</f>
        <v>3.29</v>
      </c>
      <c r="E35">
        <f>source!E35</f>
        <v>3.36</v>
      </c>
      <c r="F35">
        <f>source!F35</f>
        <v>3.81</v>
      </c>
      <c r="L35" s="13">
        <f t="shared" si="1"/>
        <v>3.2366666666666664</v>
      </c>
    </row>
    <row r="36" spans="1:12" x14ac:dyDescent="0.25">
      <c r="A36">
        <f>source!A36/metric!$W$2</f>
        <v>164.59199974982019</v>
      </c>
      <c r="B36">
        <f>source!B36</f>
        <v>3.05</v>
      </c>
      <c r="C36">
        <f>source!C36</f>
        <v>3.08</v>
      </c>
      <c r="D36">
        <f>source!D36</f>
        <v>3.31</v>
      </c>
      <c r="E36">
        <f>source!E36</f>
        <v>3.4</v>
      </c>
      <c r="F36">
        <f>source!F36</f>
        <v>3.82</v>
      </c>
      <c r="L36" s="13">
        <f t="shared" si="1"/>
        <v>3.2633333333333336</v>
      </c>
    </row>
    <row r="37" spans="1:12" x14ac:dyDescent="0.25">
      <c r="A37">
        <f>source!A37/metric!$W$2</f>
        <v>169.16399974287074</v>
      </c>
      <c r="B37">
        <f>source!B37</f>
        <v>3.07</v>
      </c>
      <c r="C37">
        <f>source!C37</f>
        <v>3.11</v>
      </c>
      <c r="D37">
        <f>source!D37</f>
        <v>3.34</v>
      </c>
      <c r="E37">
        <f>source!E37</f>
        <v>3.43</v>
      </c>
      <c r="F37">
        <f>source!F37</f>
        <v>3.83</v>
      </c>
      <c r="L37" s="13">
        <f t="shared" si="1"/>
        <v>3.293333333333333</v>
      </c>
    </row>
    <row r="38" spans="1:12" x14ac:dyDescent="0.25">
      <c r="A38">
        <f>source!A38/metric!$W$2</f>
        <v>173.7359997359213</v>
      </c>
      <c r="B38">
        <f>source!B38</f>
        <v>3.09</v>
      </c>
      <c r="C38">
        <f>source!C38</f>
        <v>3.13</v>
      </c>
      <c r="D38">
        <f>source!D38</f>
        <v>3.37</v>
      </c>
      <c r="E38">
        <f>source!E38</f>
        <v>3.47</v>
      </c>
      <c r="F38">
        <f>source!F38</f>
        <v>3.84</v>
      </c>
      <c r="L38" s="13">
        <f t="shared" si="1"/>
        <v>3.3233333333333337</v>
      </c>
    </row>
    <row r="39" spans="1:12" x14ac:dyDescent="0.25">
      <c r="A39">
        <f>source!A39/metric!$W$2</f>
        <v>178.30799972897185</v>
      </c>
      <c r="B39">
        <f>source!B39</f>
        <v>3.11</v>
      </c>
      <c r="C39">
        <f>source!C39</f>
        <v>3.16</v>
      </c>
      <c r="D39">
        <f>source!D39</f>
        <v>3.4</v>
      </c>
      <c r="E39">
        <f>source!E39</f>
        <v>3.51</v>
      </c>
      <c r="F39">
        <f>source!F39</f>
        <v>3.86</v>
      </c>
      <c r="L39" s="13">
        <f t="shared" si="1"/>
        <v>3.3566666666666669</v>
      </c>
    </row>
    <row r="40" spans="1:12" x14ac:dyDescent="0.25">
      <c r="A40">
        <f>source!A40/metric!$W$2</f>
        <v>182.8799997220224</v>
      </c>
      <c r="B40">
        <f>source!B40</f>
        <v>3.12</v>
      </c>
      <c r="C40">
        <f>source!C40</f>
        <v>3.19</v>
      </c>
      <c r="D40">
        <f>source!D40</f>
        <v>3.42</v>
      </c>
      <c r="E40">
        <f>source!E40</f>
        <v>3.55</v>
      </c>
      <c r="F40">
        <f>source!F40</f>
        <v>3.87</v>
      </c>
      <c r="L40" s="13">
        <f t="shared" si="1"/>
        <v>3.3866666666666667</v>
      </c>
    </row>
    <row r="41" spans="1:12" x14ac:dyDescent="0.25">
      <c r="A41">
        <f>source!A41/metric!$W$2</f>
        <v>192.02399970812354</v>
      </c>
      <c r="B41">
        <f>source!B41</f>
        <v>3.14</v>
      </c>
      <c r="C41">
        <f>source!C41</f>
        <v>3.26</v>
      </c>
      <c r="D41">
        <f>source!D41</f>
        <v>3.48</v>
      </c>
      <c r="E41">
        <f>source!E41</f>
        <v>3.62</v>
      </c>
      <c r="F41">
        <f>source!F41</f>
        <v>3.89</v>
      </c>
      <c r="L41" s="13">
        <f t="shared" si="1"/>
        <v>3.4533333333333331</v>
      </c>
    </row>
    <row r="42" spans="1:12" x14ac:dyDescent="0.25">
      <c r="A42">
        <f>source!A42/metric!$W$2</f>
        <v>201.16799969422465</v>
      </c>
      <c r="B42">
        <f>source!B42</f>
        <v>3.17</v>
      </c>
      <c r="C42">
        <f>source!C42</f>
        <v>3.32</v>
      </c>
      <c r="D42">
        <f>source!D42</f>
        <v>3.53</v>
      </c>
      <c r="E42">
        <f>source!E42</f>
        <v>3.7</v>
      </c>
      <c r="F42">
        <f>source!F42</f>
        <v>3.92</v>
      </c>
      <c r="L42" s="13">
        <f t="shared" si="1"/>
        <v>3.5166666666666671</v>
      </c>
    </row>
    <row r="43" spans="1:12" x14ac:dyDescent="0.25">
      <c r="A43">
        <f>source!A43/metric!$W$2</f>
        <v>210.31199968032578</v>
      </c>
      <c r="B43">
        <f>source!B43</f>
        <v>3.21</v>
      </c>
      <c r="C43">
        <f>source!C43</f>
        <v>3.39</v>
      </c>
      <c r="D43">
        <f>source!D43</f>
        <v>3.8</v>
      </c>
      <c r="E43">
        <f>source!E43</f>
        <v>3.77</v>
      </c>
      <c r="F43">
        <f>source!F43</f>
        <v>3.95</v>
      </c>
      <c r="L43" s="13">
        <f t="shared" si="1"/>
        <v>3.6533333333333329</v>
      </c>
    </row>
    <row r="44" spans="1:12" x14ac:dyDescent="0.25">
      <c r="A44">
        <f>source!A44/metric!$W$2</f>
        <v>219.45599966642689</v>
      </c>
      <c r="B44">
        <f>source!B44</f>
        <v>3.25</v>
      </c>
      <c r="C44">
        <f>source!C44</f>
        <v>3.45</v>
      </c>
      <c r="D44">
        <f>source!D44</f>
        <v>3.64</v>
      </c>
      <c r="E44">
        <f>source!E44</f>
        <v>3.84</v>
      </c>
      <c r="F44">
        <f>source!F44</f>
        <v>3.97</v>
      </c>
      <c r="L44" s="13">
        <f t="shared" si="1"/>
        <v>3.6433333333333331</v>
      </c>
    </row>
    <row r="45" spans="1:12" x14ac:dyDescent="0.25">
      <c r="A45">
        <f>source!A45/metric!$W$2</f>
        <v>228.59999965252803</v>
      </c>
      <c r="B45">
        <f>source!B45</f>
        <v>3.35</v>
      </c>
      <c r="C45">
        <f>source!C45</f>
        <v>3.52</v>
      </c>
      <c r="D45">
        <f>source!D45</f>
        <v>3.69</v>
      </c>
      <c r="E45">
        <f>source!E45</f>
        <v>3.88</v>
      </c>
      <c r="F45">
        <f>source!F45</f>
        <v>4</v>
      </c>
      <c r="L45" s="13">
        <f t="shared" si="1"/>
        <v>3.6966666666666668</v>
      </c>
    </row>
    <row r="46" spans="1:12" x14ac:dyDescent="0.25">
      <c r="A46">
        <f>source!A46/metric!$W$2</f>
        <v>237.74399963862913</v>
      </c>
      <c r="B46">
        <f>source!B46</f>
        <v>3.45</v>
      </c>
      <c r="C46">
        <f>source!C46</f>
        <v>3.58</v>
      </c>
      <c r="D46">
        <f>source!D46</f>
        <v>3.74</v>
      </c>
      <c r="E46">
        <f>source!E46</f>
        <v>3.93</v>
      </c>
      <c r="F46">
        <f>source!F46</f>
        <v>4.03</v>
      </c>
      <c r="L46" s="13">
        <f t="shared" si="1"/>
        <v>3.75</v>
      </c>
    </row>
    <row r="47" spans="1:12" x14ac:dyDescent="0.25">
      <c r="A47">
        <f>source!A47/metric!$W$2</f>
        <v>246.88799962473027</v>
      </c>
      <c r="B47">
        <f>source!B47</f>
        <v>3.55</v>
      </c>
      <c r="C47">
        <f>source!C47</f>
        <v>3.63</v>
      </c>
      <c r="D47">
        <f>source!D47</f>
        <v>3.78</v>
      </c>
      <c r="E47">
        <f>source!E47</f>
        <v>3.96</v>
      </c>
      <c r="F47">
        <f>source!F47</f>
        <v>4.07</v>
      </c>
      <c r="L47" s="13">
        <f t="shared" si="1"/>
        <v>3.7900000000000005</v>
      </c>
    </row>
    <row r="48" spans="1:12" x14ac:dyDescent="0.25">
      <c r="A48">
        <f>source!A48/metric!$W$2</f>
        <v>256.03199961083141</v>
      </c>
      <c r="B48">
        <f>source!B48</f>
        <v>3.65</v>
      </c>
      <c r="C48">
        <f>source!C48</f>
        <v>3.69</v>
      </c>
      <c r="D48">
        <f>source!D48</f>
        <v>3.83</v>
      </c>
      <c r="E48">
        <f>source!E48</f>
        <v>4</v>
      </c>
      <c r="F48">
        <f>source!F48</f>
        <v>4.0999999999999996</v>
      </c>
      <c r="L48" s="13">
        <f t="shared" si="1"/>
        <v>3.84</v>
      </c>
    </row>
    <row r="49" spans="1:12" x14ac:dyDescent="0.25">
      <c r="A49">
        <f>source!A49/metric!$W$2</f>
        <v>265.17599959693251</v>
      </c>
      <c r="B49">
        <f>source!B49</f>
        <v>3.68</v>
      </c>
      <c r="C49">
        <f>source!C49</f>
        <v>3.74</v>
      </c>
      <c r="D49">
        <f>source!D49</f>
        <v>3.87</v>
      </c>
      <c r="E49">
        <f>source!E49</f>
        <v>4.0199999999999996</v>
      </c>
      <c r="F49">
        <f>source!F49</f>
        <v>4.1500000000000004</v>
      </c>
      <c r="L49" s="13">
        <f t="shared" si="1"/>
        <v>3.8766666666666665</v>
      </c>
    </row>
    <row r="50" spans="1:12" x14ac:dyDescent="0.25">
      <c r="A50">
        <f>source!A50/metric!$W$2</f>
        <v>274.31999958303362</v>
      </c>
      <c r="B50">
        <f>source!B50</f>
        <v>3.71</v>
      </c>
      <c r="C50">
        <f>source!C50</f>
        <v>3.78</v>
      </c>
      <c r="D50">
        <f>source!D50</f>
        <v>3.9</v>
      </c>
      <c r="E50">
        <f>source!E50</f>
        <v>4.04</v>
      </c>
      <c r="F50">
        <f>source!F50</f>
        <v>4.2</v>
      </c>
      <c r="L50" s="13">
        <f t="shared" si="1"/>
        <v>3.9066666666666663</v>
      </c>
    </row>
    <row r="51" spans="1:12" x14ac:dyDescent="0.25">
      <c r="A51">
        <f>source!A51/metric!$W$2</f>
        <v>292.60799955523589</v>
      </c>
      <c r="B51">
        <f>source!B51</f>
        <v>3.79</v>
      </c>
      <c r="C51">
        <f>source!C51</f>
        <v>3.84</v>
      </c>
      <c r="D51">
        <f>source!D51</f>
        <v>3.95</v>
      </c>
      <c r="E51">
        <f>source!E51</f>
        <v>4.12</v>
      </c>
      <c r="F51">
        <f>source!F51</f>
        <v>4.3099999999999996</v>
      </c>
      <c r="L51" s="13">
        <f t="shared" si="1"/>
        <v>3.97</v>
      </c>
    </row>
    <row r="52" spans="1:12" x14ac:dyDescent="0.25">
      <c r="A52">
        <f>source!A52/metric!$W$2</f>
        <v>310.89599952743811</v>
      </c>
      <c r="B52">
        <f>source!B52</f>
        <v>3.86</v>
      </c>
      <c r="C52">
        <f>source!C52</f>
        <v>3.88</v>
      </c>
      <c r="D52">
        <f>source!D52</f>
        <v>4.0199999999999996</v>
      </c>
      <c r="E52">
        <f>source!E52</f>
        <v>4.26</v>
      </c>
      <c r="F52">
        <f>source!F52</f>
        <v>4.4400000000000004</v>
      </c>
      <c r="L52" s="13">
        <f t="shared" si="1"/>
        <v>4.0533333333333337</v>
      </c>
    </row>
    <row r="53" spans="1:12" x14ac:dyDescent="0.25">
      <c r="A53">
        <f>source!A53/metric!$W$2</f>
        <v>329.18399949964038</v>
      </c>
      <c r="B53">
        <f>source!B53</f>
        <v>3.92</v>
      </c>
      <c r="C53">
        <f>source!C53</f>
        <v>3.95</v>
      </c>
      <c r="D53">
        <f>source!D53</f>
        <v>4.1100000000000003</v>
      </c>
      <c r="E53">
        <f>source!E53</f>
        <v>4.41</v>
      </c>
      <c r="F53">
        <f>source!F53</f>
        <v>4.5599999999999996</v>
      </c>
      <c r="L53" s="13">
        <f t="shared" si="1"/>
        <v>4.1566666666666672</v>
      </c>
    </row>
    <row r="54" spans="1:12" x14ac:dyDescent="0.25">
      <c r="A54">
        <f>source!A54/metric!$W$2</f>
        <v>347.47199947184259</v>
      </c>
      <c r="B54">
        <f>source!B54</f>
        <v>3.96</v>
      </c>
      <c r="C54">
        <f>source!C54</f>
        <v>4.03</v>
      </c>
      <c r="D54">
        <f>source!D54</f>
        <v>4.21</v>
      </c>
      <c r="E54">
        <f>source!E54</f>
        <v>4.55</v>
      </c>
      <c r="F54">
        <f>source!F54</f>
        <v>4.66</v>
      </c>
      <c r="L54" s="13">
        <f t="shared" si="1"/>
        <v>4.2633333333333328</v>
      </c>
    </row>
    <row r="55" spans="1:12" x14ac:dyDescent="0.25">
      <c r="A55">
        <f>source!A55/metric!$W$2</f>
        <v>365.75999944404481</v>
      </c>
      <c r="B55">
        <f>source!B55</f>
        <v>3.99</v>
      </c>
      <c r="C55">
        <f>source!C55</f>
        <v>4.1100000000000003</v>
      </c>
      <c r="D55">
        <f>source!D55</f>
        <v>4.3</v>
      </c>
      <c r="E55">
        <f>source!E55</f>
        <v>4.6900000000000004</v>
      </c>
      <c r="F55">
        <f>source!F55</f>
        <v>4.75</v>
      </c>
      <c r="L55" s="13">
        <f t="shared" si="1"/>
        <v>4.3666666666666671</v>
      </c>
    </row>
    <row r="56" spans="1:12" x14ac:dyDescent="0.25">
      <c r="A56">
        <f>source!A56/metric!$W$2</f>
        <v>384.04799941624708</v>
      </c>
      <c r="B56">
        <f>source!B56</f>
        <v>4.0199999999999996</v>
      </c>
      <c r="C56">
        <f>source!C56</f>
        <v>4.1500000000000004</v>
      </c>
      <c r="D56">
        <f>source!D56</f>
        <v>4.34</v>
      </c>
      <c r="E56">
        <f>source!E56</f>
        <v>4.7300000000000004</v>
      </c>
      <c r="F56">
        <f>source!F56</f>
        <v>4.79</v>
      </c>
      <c r="L56" s="13">
        <f t="shared" si="1"/>
        <v>4.4066666666666672</v>
      </c>
    </row>
    <row r="57" spans="1:12" x14ac:dyDescent="0.25">
      <c r="A57">
        <f>source!A57/metric!$W$2</f>
        <v>402.3359993884493</v>
      </c>
      <c r="B57">
        <f>source!B57</f>
        <v>4.08</v>
      </c>
      <c r="C57">
        <f>source!C57</f>
        <v>4.2</v>
      </c>
      <c r="D57">
        <f>source!D57</f>
        <v>4.3899999999999997</v>
      </c>
      <c r="E57">
        <f>source!E57</f>
        <v>4.78</v>
      </c>
      <c r="F57">
        <f>source!F57</f>
        <v>4.84</v>
      </c>
      <c r="L57" s="13">
        <f t="shared" si="1"/>
        <v>4.456666666666667</v>
      </c>
    </row>
    <row r="58" spans="1:12" x14ac:dyDescent="0.25">
      <c r="A58">
        <f>source!A58/metric!$W$2</f>
        <v>420.62399936065157</v>
      </c>
      <c r="B58">
        <f>source!B58</f>
        <v>4.17</v>
      </c>
      <c r="C58">
        <f>source!C58</f>
        <v>4.29</v>
      </c>
      <c r="D58">
        <f>source!D58</f>
        <v>4.4800000000000004</v>
      </c>
      <c r="E58">
        <f>source!E58</f>
        <v>4.87</v>
      </c>
      <c r="F58">
        <f>source!F58</f>
        <v>4.93</v>
      </c>
      <c r="L58" s="13">
        <f t="shared" si="1"/>
        <v>4.5466666666666669</v>
      </c>
    </row>
    <row r="59" spans="1:12" x14ac:dyDescent="0.25">
      <c r="A59">
        <f>source!A59/metric!$W$2</f>
        <v>438.91199933285378</v>
      </c>
      <c r="B59">
        <f>source!B59</f>
        <v>4.28</v>
      </c>
      <c r="C59">
        <f>source!C59</f>
        <v>4.4000000000000004</v>
      </c>
      <c r="D59">
        <f>source!D59</f>
        <v>4.59</v>
      </c>
      <c r="E59">
        <f>source!E59</f>
        <v>4.9800000000000004</v>
      </c>
      <c r="F59">
        <f>source!F59</f>
        <v>5.04</v>
      </c>
      <c r="L59" s="13">
        <f t="shared" si="1"/>
        <v>4.6566666666666672</v>
      </c>
    </row>
    <row r="60" spans="1:12" x14ac:dyDescent="0.25">
      <c r="A60">
        <f>source!A60/metric!$W$2</f>
        <v>457.19999930505605</v>
      </c>
      <c r="B60">
        <f>source!B60</f>
        <v>4.41</v>
      </c>
      <c r="C60">
        <f>source!C60</f>
        <v>4.53</v>
      </c>
      <c r="D60">
        <f>source!D60</f>
        <v>4.72</v>
      </c>
      <c r="E60">
        <f>source!E60</f>
        <v>5.1100000000000003</v>
      </c>
      <c r="F60">
        <f>source!F60</f>
        <v>5.17</v>
      </c>
      <c r="L60" s="13">
        <f t="shared" si="1"/>
        <v>4.7866666666666662</v>
      </c>
    </row>
    <row r="61" spans="1:12" x14ac:dyDescent="0.25">
      <c r="A61">
        <f>source!A61/metric!$W$2</f>
        <v>475.48799927725827</v>
      </c>
      <c r="B61">
        <f>source!B61</f>
        <v>4.54</v>
      </c>
      <c r="C61">
        <f>source!C61</f>
        <v>4.8499999999999996</v>
      </c>
      <c r="D61">
        <f>source!D61</f>
        <v>4.8499999999999996</v>
      </c>
      <c r="E61">
        <f>source!E61</f>
        <v>5.24</v>
      </c>
      <c r="F61">
        <f>source!F61</f>
        <v>5.3</v>
      </c>
      <c r="L61" s="13">
        <f t="shared" si="1"/>
        <v>4.9799999999999995</v>
      </c>
    </row>
    <row r="62" spans="1:12" x14ac:dyDescent="0.25">
      <c r="A62">
        <f>source!A62/metric!$W$2</f>
        <v>493.77599924946054</v>
      </c>
      <c r="B62">
        <f>source!B62</f>
        <v>4.6500000000000004</v>
      </c>
      <c r="C62">
        <f>source!C62</f>
        <v>4.97</v>
      </c>
      <c r="D62">
        <f>source!D62</f>
        <v>4.97</v>
      </c>
      <c r="E62">
        <f>source!E62</f>
        <v>5.36</v>
      </c>
      <c r="F62">
        <f>source!F62</f>
        <v>5.42</v>
      </c>
      <c r="L62" s="13">
        <f t="shared" si="1"/>
        <v>5.1000000000000005</v>
      </c>
    </row>
    <row r="63" spans="1:12" x14ac:dyDescent="0.25">
      <c r="A63">
        <f>source!A63/metric!$W$2</f>
        <v>512.06399922166281</v>
      </c>
      <c r="B63">
        <f>source!B63</f>
        <v>4.74</v>
      </c>
      <c r="C63">
        <f>source!C63</f>
        <v>5.05</v>
      </c>
      <c r="D63">
        <f>source!D63</f>
        <v>5.05</v>
      </c>
      <c r="E63">
        <f>source!E63</f>
        <v>5.44</v>
      </c>
      <c r="F63">
        <f>source!F63</f>
        <v>5.5</v>
      </c>
      <c r="L63" s="13">
        <f t="shared" si="1"/>
        <v>5.18</v>
      </c>
    </row>
    <row r="64" spans="1:12" x14ac:dyDescent="0.25">
      <c r="A64">
        <f>source!A64/metric!$W$2</f>
        <v>530.35199919386503</v>
      </c>
      <c r="B64">
        <f>source!B64</f>
        <v>4.79</v>
      </c>
      <c r="C64">
        <f>source!C64</f>
        <v>5.0999999999999996</v>
      </c>
      <c r="D64">
        <f>source!D64</f>
        <v>5.0999999999999996</v>
      </c>
      <c r="E64">
        <f>source!E64</f>
        <v>5.49</v>
      </c>
      <c r="F64">
        <f>source!F64</f>
        <v>5.55</v>
      </c>
      <c r="L64" s="13">
        <f t="shared" si="1"/>
        <v>5.2299999999999995</v>
      </c>
    </row>
    <row r="65" spans="1:12" x14ac:dyDescent="0.25">
      <c r="A65">
        <f>source!A65/metric!$W$2</f>
        <v>548.63999916606724</v>
      </c>
      <c r="B65">
        <f>source!B65</f>
        <v>4.82</v>
      </c>
      <c r="C65">
        <f>source!C65</f>
        <v>5.13</v>
      </c>
      <c r="D65">
        <f>source!D65</f>
        <v>5.13</v>
      </c>
      <c r="E65">
        <f>source!E65</f>
        <v>5.52</v>
      </c>
      <c r="F65">
        <f>source!F65</f>
        <v>5.58</v>
      </c>
      <c r="L65" s="13">
        <f t="shared" si="1"/>
        <v>5.26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87ED-886B-44FE-8790-08DCEB73A4B1}">
  <dimension ref="A1:H258"/>
  <sheetViews>
    <sheetView tabSelected="1" workbookViewId="0">
      <selection activeCell="C89" sqref="C89"/>
    </sheetView>
  </sheetViews>
  <sheetFormatPr defaultRowHeight="15" x14ac:dyDescent="0.25"/>
  <cols>
    <col min="1" max="1" width="20.7109375" bestFit="1" customWidth="1"/>
    <col min="2" max="2" width="15" bestFit="1" customWidth="1"/>
    <col min="3" max="3" width="26.140625" bestFit="1" customWidth="1"/>
    <col min="4" max="4" width="15" bestFit="1" customWidth="1"/>
    <col min="5" max="5" width="23.28515625" bestFit="1" customWidth="1"/>
    <col min="6" max="6" width="14.5703125" customWidth="1"/>
    <col min="7" max="7" width="19.42578125" bestFit="1" customWidth="1"/>
    <col min="8" max="8" width="15" bestFit="1" customWidth="1"/>
  </cols>
  <sheetData>
    <row r="1" spans="1:8" x14ac:dyDescent="0.25">
      <c r="A1" s="15" t="str" cm="1">
        <f t="array" ref="A1:F1">metric!A1:F1</f>
        <v>DISTANCE</v>
      </c>
      <c r="B1" s="15" t="str">
        <v>TEE</v>
      </c>
      <c r="C1" s="15" t="str">
        <v>FAIRWAY</v>
      </c>
      <c r="D1" s="15" t="str">
        <v>ROUGH</v>
      </c>
      <c r="E1" s="15" t="str">
        <v>SAND</v>
      </c>
      <c r="F1" s="15" t="str">
        <v>RECOVERY</v>
      </c>
      <c r="G1" s="15"/>
      <c r="H1" s="15"/>
    </row>
    <row r="2" spans="1:8" x14ac:dyDescent="0.25">
      <c r="A2" s="15" cm="1">
        <f t="array" ref="A2:F2">metric!A2:F2</f>
        <v>9.1439999861011216</v>
      </c>
      <c r="B2" s="15">
        <v>2.74</v>
      </c>
      <c r="C2" s="15">
        <v>2.2000000000000002</v>
      </c>
      <c r="D2" s="15">
        <v>2.4900000000000002</v>
      </c>
      <c r="E2" s="15">
        <v>2.41</v>
      </c>
      <c r="F2" s="15">
        <v>3.5</v>
      </c>
      <c r="G2" s="16"/>
      <c r="H2" s="16"/>
    </row>
    <row r="3" spans="1:8" x14ac:dyDescent="0.25">
      <c r="A3" s="15" cm="1">
        <f t="array" ref="A3:F3">metric!A3:F3</f>
        <v>13.715999979151681</v>
      </c>
      <c r="B3" s="15">
        <v>2.75</v>
      </c>
      <c r="C3" s="15">
        <v>2.2999999999999998</v>
      </c>
      <c r="D3" s="15">
        <v>2.54</v>
      </c>
      <c r="E3" s="15">
        <v>2.4700000000000002</v>
      </c>
      <c r="F3" s="15">
        <v>3.5</v>
      </c>
      <c r="G3" s="16"/>
      <c r="H3" s="16"/>
    </row>
    <row r="4" spans="1:8" x14ac:dyDescent="0.25">
      <c r="A4" s="15" cm="1">
        <f t="array" ref="A4:F4">metric!A4:F4</f>
        <v>18.287999972202243</v>
      </c>
      <c r="B4" s="15">
        <v>2.76</v>
      </c>
      <c r="C4" s="15">
        <v>2.4</v>
      </c>
      <c r="D4" s="15">
        <v>2.59</v>
      </c>
      <c r="E4" s="15">
        <v>2.5299999999999998</v>
      </c>
      <c r="F4" s="15">
        <v>3.5</v>
      </c>
      <c r="G4" s="16"/>
      <c r="H4" s="16"/>
    </row>
    <row r="5" spans="1:8" x14ac:dyDescent="0.25">
      <c r="A5" s="15" cm="1">
        <f t="array" ref="A5:F5">metric!A5:F5</f>
        <v>22.859999965252801</v>
      </c>
      <c r="B5" s="15">
        <v>2.77</v>
      </c>
      <c r="C5" s="15">
        <v>2.4500000000000002</v>
      </c>
      <c r="D5" s="15">
        <v>2.64</v>
      </c>
      <c r="E5" s="15">
        <v>2.59</v>
      </c>
      <c r="F5" s="15">
        <v>3.55</v>
      </c>
      <c r="G5" s="16"/>
      <c r="H5" s="16"/>
    </row>
    <row r="6" spans="1:8" x14ac:dyDescent="0.25">
      <c r="A6" s="15" cm="1">
        <f t="array" ref="A6:F6">metric!A6:F6</f>
        <v>27.431999958303361</v>
      </c>
      <c r="B6" s="15">
        <v>2.78</v>
      </c>
      <c r="C6" s="15">
        <v>2.5</v>
      </c>
      <c r="D6" s="15">
        <v>2.69</v>
      </c>
      <c r="E6" s="15">
        <v>2.67</v>
      </c>
      <c r="F6" s="15">
        <v>3.55</v>
      </c>
      <c r="G6" s="16"/>
      <c r="H6" s="16"/>
    </row>
    <row r="7" spans="1:8" x14ac:dyDescent="0.25">
      <c r="A7" s="15" cm="1">
        <f t="array" ref="A7:F7">metric!A7:F7</f>
        <v>32.003999951353926</v>
      </c>
      <c r="B7" s="15">
        <v>2.79</v>
      </c>
      <c r="C7" s="15">
        <v>2.5499999999999998</v>
      </c>
      <c r="D7" s="15">
        <v>2.74</v>
      </c>
      <c r="E7" s="15">
        <v>2.76</v>
      </c>
      <c r="F7" s="15">
        <v>3.55</v>
      </c>
      <c r="G7" s="16"/>
      <c r="H7" s="16"/>
    </row>
    <row r="8" spans="1:8" x14ac:dyDescent="0.25">
      <c r="A8" s="15" cm="1">
        <f t="array" ref="A8:F8">metric!A8:F8</f>
        <v>36.575999944404487</v>
      </c>
      <c r="B8" s="15">
        <v>2.8</v>
      </c>
      <c r="C8" s="15">
        <v>2.6</v>
      </c>
      <c r="D8" s="15">
        <v>2.78</v>
      </c>
      <c r="E8" s="15">
        <v>2.82</v>
      </c>
      <c r="F8" s="15">
        <v>3.6</v>
      </c>
      <c r="G8" s="16"/>
      <c r="H8" s="16"/>
    </row>
    <row r="9" spans="1:8" x14ac:dyDescent="0.25">
      <c r="A9" s="15" cm="1">
        <f t="array" ref="A9:F9">metric!A9:F9</f>
        <v>41.147999937455047</v>
      </c>
      <c r="B9" s="15">
        <v>2.81</v>
      </c>
      <c r="C9" s="15">
        <v>2.62</v>
      </c>
      <c r="D9" s="15">
        <v>2.82</v>
      </c>
      <c r="E9" s="15">
        <v>2.9</v>
      </c>
      <c r="F9" s="15">
        <v>3.6</v>
      </c>
      <c r="G9" s="16"/>
      <c r="H9" s="16"/>
    </row>
    <row r="10" spans="1:8" x14ac:dyDescent="0.25">
      <c r="A10" s="15" cm="1">
        <f t="array" ref="A10:F10">metric!A10:F10</f>
        <v>45.719999930505601</v>
      </c>
      <c r="B10" s="15">
        <v>2.82</v>
      </c>
      <c r="C10" s="15">
        <v>2.65</v>
      </c>
      <c r="D10" s="15">
        <v>2.85</v>
      </c>
      <c r="E10" s="15">
        <v>2.98</v>
      </c>
      <c r="F10" s="15">
        <v>3.6</v>
      </c>
      <c r="G10" s="16"/>
      <c r="H10" s="16"/>
    </row>
    <row r="11" spans="1:8" x14ac:dyDescent="0.25">
      <c r="A11" s="15" cm="1">
        <f t="array" ref="A11:F11">metric!A11:F11</f>
        <v>50.291999923556162</v>
      </c>
      <c r="B11" s="15">
        <v>2.83</v>
      </c>
      <c r="C11" s="15">
        <v>2.67</v>
      </c>
      <c r="D11" s="15">
        <v>2.88</v>
      </c>
      <c r="E11" s="15">
        <v>3.07</v>
      </c>
      <c r="F11" s="15">
        <v>3.65</v>
      </c>
      <c r="G11" s="16"/>
      <c r="H11" s="16"/>
    </row>
    <row r="12" spans="1:8" x14ac:dyDescent="0.25">
      <c r="A12" s="15" cm="1">
        <f t="array" ref="A12:F12">metric!A12:F12</f>
        <v>54.863999916606723</v>
      </c>
      <c r="B12" s="15">
        <v>2.84</v>
      </c>
      <c r="C12" s="15">
        <v>2.7</v>
      </c>
      <c r="D12" s="15">
        <v>2.91</v>
      </c>
      <c r="E12" s="15">
        <v>3.15</v>
      </c>
      <c r="F12" s="15">
        <v>3.65</v>
      </c>
      <c r="G12" s="16"/>
      <c r="H12" s="16"/>
    </row>
    <row r="13" spans="1:8" x14ac:dyDescent="0.25">
      <c r="A13" s="15" cm="1">
        <f t="array" ref="A13:F13">metric!A13:F13</f>
        <v>59.435999909657284</v>
      </c>
      <c r="B13" s="15">
        <v>2.85</v>
      </c>
      <c r="C13" s="15">
        <v>2.72</v>
      </c>
      <c r="D13" s="15">
        <v>2.92</v>
      </c>
      <c r="E13" s="15">
        <v>3.17</v>
      </c>
      <c r="F13" s="15">
        <v>3.65</v>
      </c>
      <c r="G13" s="16"/>
      <c r="H13" s="16"/>
    </row>
    <row r="14" spans="1:8" x14ac:dyDescent="0.25">
      <c r="A14" s="15" cm="1">
        <f t="array" ref="A14:F14">metric!A14:F14</f>
        <v>64.007999902707851</v>
      </c>
      <c r="B14" s="15">
        <v>2.86</v>
      </c>
      <c r="C14" s="15">
        <v>2.73</v>
      </c>
      <c r="D14" s="15">
        <v>2.93</v>
      </c>
      <c r="E14" s="15">
        <v>3.19</v>
      </c>
      <c r="F14" s="15">
        <v>3.7</v>
      </c>
      <c r="G14" s="16"/>
      <c r="H14" s="16"/>
    </row>
    <row r="15" spans="1:8" x14ac:dyDescent="0.25">
      <c r="A15" s="15" cm="1">
        <f t="array" ref="A15:F15">metric!A15:F15</f>
        <v>68.579999895758405</v>
      </c>
      <c r="B15" s="15">
        <v>2.87</v>
      </c>
      <c r="C15" s="15">
        <v>2.74</v>
      </c>
      <c r="D15" s="15">
        <v>2.95</v>
      </c>
      <c r="E15" s="15">
        <v>3.22</v>
      </c>
      <c r="F15" s="15">
        <v>3.7</v>
      </c>
      <c r="G15" s="16"/>
      <c r="H15" s="16"/>
    </row>
    <row r="16" spans="1:8" x14ac:dyDescent="0.25">
      <c r="A16" s="15" cm="1">
        <f t="array" ref="A16:F16">metric!A16:F16</f>
        <v>73.151999888808973</v>
      </c>
      <c r="B16" s="15">
        <v>2.88</v>
      </c>
      <c r="C16" s="15">
        <v>2.75</v>
      </c>
      <c r="D16" s="15">
        <v>2.96</v>
      </c>
      <c r="E16" s="15">
        <v>3.24</v>
      </c>
      <c r="F16" s="15">
        <v>3.7</v>
      </c>
      <c r="G16" s="16"/>
      <c r="H16" s="16"/>
    </row>
    <row r="17" spans="1:8" x14ac:dyDescent="0.25">
      <c r="A17" s="15" cm="1">
        <f t="array" ref="A17:F17">metric!A17:F17</f>
        <v>77.723999881859527</v>
      </c>
      <c r="B17" s="15">
        <v>2.89</v>
      </c>
      <c r="C17" s="15">
        <v>2.77</v>
      </c>
      <c r="D17" s="15">
        <v>2.97</v>
      </c>
      <c r="E17" s="15">
        <v>3.24</v>
      </c>
      <c r="F17" s="15">
        <v>3.75</v>
      </c>
      <c r="G17" s="16"/>
      <c r="H17" s="16"/>
    </row>
    <row r="18" spans="1:8" x14ac:dyDescent="0.25">
      <c r="A18" s="15" cm="1">
        <f t="array" ref="A18:F18">metric!A18:F18</f>
        <v>82.295999874910095</v>
      </c>
      <c r="B18" s="15">
        <v>2.9</v>
      </c>
      <c r="C18" s="15">
        <v>2.78</v>
      </c>
      <c r="D18" s="15">
        <v>2.99</v>
      </c>
      <c r="E18" s="15">
        <v>3.23</v>
      </c>
      <c r="F18" s="15">
        <v>3.75</v>
      </c>
      <c r="G18" s="16"/>
      <c r="H18" s="16"/>
    </row>
    <row r="19" spans="1:8" x14ac:dyDescent="0.25">
      <c r="A19" s="15" cm="1">
        <f t="array" ref="A19:F19">metric!A19:F19</f>
        <v>86.867999867960648</v>
      </c>
      <c r="B19" s="15">
        <v>2.91</v>
      </c>
      <c r="C19" s="15">
        <v>2.79</v>
      </c>
      <c r="D19" s="15">
        <v>3.01</v>
      </c>
      <c r="E19" s="15">
        <v>3.23</v>
      </c>
      <c r="F19" s="15">
        <v>3.75</v>
      </c>
      <c r="G19" s="16"/>
      <c r="H19" s="16"/>
    </row>
    <row r="20" spans="1:8" x14ac:dyDescent="0.25">
      <c r="A20" s="15" cm="1">
        <f t="array" ref="A20:F20">metric!A20:F20</f>
        <v>91.439999861011202</v>
      </c>
      <c r="B20" s="15">
        <v>2.92</v>
      </c>
      <c r="C20" s="15">
        <v>2.8</v>
      </c>
      <c r="D20" s="15">
        <v>3.02</v>
      </c>
      <c r="E20" s="15">
        <v>3.23</v>
      </c>
      <c r="F20" s="15">
        <v>3.8</v>
      </c>
      <c r="G20" s="16"/>
      <c r="H20" s="16"/>
    </row>
    <row r="21" spans="1:8" x14ac:dyDescent="0.25">
      <c r="A21" s="15" cm="1">
        <f t="array" ref="A21:F21">metric!A21:F21</f>
        <v>96.01199985406177</v>
      </c>
      <c r="B21" s="15">
        <v>2.93</v>
      </c>
      <c r="C21" s="15">
        <v>2.81</v>
      </c>
      <c r="D21" s="15">
        <v>3.03</v>
      </c>
      <c r="E21" s="15">
        <v>3.23</v>
      </c>
      <c r="F21" s="15">
        <v>3.8</v>
      </c>
      <c r="G21" s="16"/>
      <c r="H21" s="16"/>
    </row>
    <row r="22" spans="1:8" x14ac:dyDescent="0.25">
      <c r="A22" s="15" cm="1">
        <f t="array" ref="A22:F22">metric!A22:F22</f>
        <v>100.58399984711232</v>
      </c>
      <c r="B22" s="15">
        <v>2.95</v>
      </c>
      <c r="C22" s="15">
        <v>2.83</v>
      </c>
      <c r="D22" s="15">
        <v>3.04</v>
      </c>
      <c r="E22" s="15">
        <v>3.22</v>
      </c>
      <c r="F22" s="15">
        <v>3.8</v>
      </c>
      <c r="G22" s="16"/>
      <c r="H22" s="16"/>
    </row>
    <row r="23" spans="1:8" x14ac:dyDescent="0.25">
      <c r="A23" s="15" cm="1">
        <f t="array" ref="A23:F23">metric!A23:F23</f>
        <v>105.15599984016289</v>
      </c>
      <c r="B23" s="15">
        <v>2.97</v>
      </c>
      <c r="C23" s="15">
        <v>2.84</v>
      </c>
      <c r="D23" s="15">
        <v>3.06</v>
      </c>
      <c r="E23" s="15">
        <v>3.21</v>
      </c>
      <c r="F23" s="15">
        <v>3.8</v>
      </c>
      <c r="G23" s="16"/>
      <c r="H23" s="16"/>
    </row>
    <row r="24" spans="1:8" x14ac:dyDescent="0.25">
      <c r="A24" s="15" cm="1">
        <f t="array" ref="A24:F24">metric!A24:F24</f>
        <v>109.72799983321345</v>
      </c>
      <c r="B24" s="15">
        <v>2.99</v>
      </c>
      <c r="C24" s="15">
        <v>2.85</v>
      </c>
      <c r="D24" s="15">
        <v>3.08</v>
      </c>
      <c r="E24" s="15">
        <v>3.21</v>
      </c>
      <c r="F24" s="15">
        <v>3.78</v>
      </c>
      <c r="G24" s="16"/>
      <c r="H24" s="16"/>
    </row>
    <row r="25" spans="1:8" x14ac:dyDescent="0.25">
      <c r="A25" s="15" cm="1">
        <f t="array" ref="A25:F25">metric!A25:F25</f>
        <v>114.29999982626401</v>
      </c>
      <c r="B25" s="15">
        <v>2.99</v>
      </c>
      <c r="C25" s="15">
        <v>2.86</v>
      </c>
      <c r="D25" s="15">
        <v>3.09</v>
      </c>
      <c r="E25" s="15">
        <v>3.21</v>
      </c>
      <c r="F25" s="15">
        <v>3.78</v>
      </c>
      <c r="G25" s="16"/>
      <c r="H25" s="16"/>
    </row>
    <row r="26" spans="1:8" x14ac:dyDescent="0.25">
      <c r="A26" s="15" cm="1">
        <f t="array" ref="A26:F26">metric!A26:F26</f>
        <v>118.87199981931457</v>
      </c>
      <c r="B26" s="15">
        <v>2.97</v>
      </c>
      <c r="C26" s="15">
        <v>2.88</v>
      </c>
      <c r="D26" s="15">
        <v>3.11</v>
      </c>
      <c r="E26" s="15">
        <v>3.21</v>
      </c>
      <c r="F26" s="15">
        <v>3.78</v>
      </c>
      <c r="G26" s="16"/>
      <c r="H26" s="16"/>
    </row>
    <row r="27" spans="1:8" x14ac:dyDescent="0.25">
      <c r="A27" s="15" cm="1">
        <f t="array" ref="A27:F27">metric!A27:F27</f>
        <v>123.44399981236513</v>
      </c>
      <c r="B27" s="15">
        <v>2.97</v>
      </c>
      <c r="C27" s="15">
        <v>2.9</v>
      </c>
      <c r="D27" s="15">
        <v>3.13</v>
      </c>
      <c r="E27" s="15">
        <v>3.22</v>
      </c>
      <c r="F27" s="15">
        <v>3.78</v>
      </c>
      <c r="G27" s="16"/>
      <c r="H27" s="16"/>
    </row>
    <row r="28" spans="1:8" x14ac:dyDescent="0.25">
      <c r="A28" s="15" cm="1">
        <f t="array" ref="A28:F28">metric!A28:F28</f>
        <v>128.0159998054157</v>
      </c>
      <c r="B28" s="15">
        <v>2.97</v>
      </c>
      <c r="C28" s="15">
        <v>2.91</v>
      </c>
      <c r="D28" s="15">
        <v>3.15</v>
      </c>
      <c r="E28" s="15">
        <v>3.22</v>
      </c>
      <c r="F28" s="15">
        <v>3.8</v>
      </c>
      <c r="G28" s="16"/>
      <c r="H28" s="16"/>
    </row>
    <row r="29" spans="1:8" x14ac:dyDescent="0.25">
      <c r="A29" s="15" cm="1">
        <f t="array" ref="A29:F29">metric!A29:F29</f>
        <v>132.58799979846626</v>
      </c>
      <c r="B29" s="15">
        <v>2.97</v>
      </c>
      <c r="C29" s="15">
        <v>2.93</v>
      </c>
      <c r="D29" s="15">
        <v>3.17</v>
      </c>
      <c r="E29" s="15">
        <v>3.23</v>
      </c>
      <c r="F29" s="15">
        <v>3.8</v>
      </c>
      <c r="G29" s="16"/>
      <c r="H29" s="16"/>
    </row>
    <row r="30" spans="1:8" x14ac:dyDescent="0.25">
      <c r="A30" s="15" cm="1">
        <f t="array" ref="A30:F30">metric!A30:F30</f>
        <v>137.15999979151681</v>
      </c>
      <c r="B30" s="15">
        <v>2.99</v>
      </c>
      <c r="C30" s="15">
        <v>2.95</v>
      </c>
      <c r="D30" s="15">
        <v>3.19</v>
      </c>
      <c r="E30" s="15">
        <v>3.25</v>
      </c>
      <c r="F30" s="15">
        <v>3.8</v>
      </c>
      <c r="G30" s="16"/>
      <c r="H30" s="16"/>
    </row>
    <row r="31" spans="1:8" x14ac:dyDescent="0.25">
      <c r="A31" s="15" cm="1">
        <f t="array" ref="A31:F31">metric!A31:F31</f>
        <v>141.73199978456736</v>
      </c>
      <c r="B31" s="15">
        <v>2.99</v>
      </c>
      <c r="C31" s="15">
        <v>2.97</v>
      </c>
      <c r="D31" s="15">
        <v>3.21</v>
      </c>
      <c r="E31" s="15">
        <v>3.26</v>
      </c>
      <c r="F31" s="15">
        <v>3.8</v>
      </c>
      <c r="G31" s="16"/>
      <c r="H31" s="16"/>
    </row>
    <row r="32" spans="1:8" x14ac:dyDescent="0.25">
      <c r="A32" s="15" cm="1">
        <f t="array" ref="A32:F32">metric!A32:F32</f>
        <v>146.30399977761795</v>
      </c>
      <c r="B32" s="15">
        <v>2.99</v>
      </c>
      <c r="C32" s="15">
        <v>2.98</v>
      </c>
      <c r="D32" s="15">
        <v>3.23</v>
      </c>
      <c r="E32" s="15">
        <v>3.28</v>
      </c>
      <c r="F32" s="15">
        <v>3.81</v>
      </c>
      <c r="G32" s="16"/>
      <c r="H32" s="16"/>
    </row>
    <row r="33" spans="1:8" x14ac:dyDescent="0.25">
      <c r="A33" s="15" cm="1">
        <f t="array" ref="A33:F33">metric!A33:F33</f>
        <v>150.8759997706685</v>
      </c>
      <c r="B33" s="15">
        <v>3.01</v>
      </c>
      <c r="C33" s="15">
        <v>3</v>
      </c>
      <c r="D33" s="15">
        <v>3.25</v>
      </c>
      <c r="E33" s="15">
        <v>3.3</v>
      </c>
      <c r="F33" s="15">
        <v>3.81</v>
      </c>
      <c r="G33" s="16"/>
      <c r="H33" s="16"/>
    </row>
    <row r="34" spans="1:8" x14ac:dyDescent="0.25">
      <c r="A34" s="15" cm="1">
        <f t="array" ref="A34:F34">metric!A34:F34</f>
        <v>155.44799976371905</v>
      </c>
      <c r="B34" s="15">
        <v>3.02</v>
      </c>
      <c r="C34" s="15">
        <v>3.03</v>
      </c>
      <c r="D34" s="15">
        <v>3.27</v>
      </c>
      <c r="E34" s="15">
        <v>3.33</v>
      </c>
      <c r="F34" s="15">
        <v>3.81</v>
      </c>
      <c r="G34" s="16"/>
      <c r="H34" s="16"/>
    </row>
    <row r="35" spans="1:8" x14ac:dyDescent="0.25">
      <c r="A35" s="15" cm="1">
        <f t="array" ref="A35:F35">metric!A35:F35</f>
        <v>160.01999975676961</v>
      </c>
      <c r="B35" s="15">
        <v>3.04</v>
      </c>
      <c r="C35" s="15">
        <v>3.06</v>
      </c>
      <c r="D35" s="15">
        <v>3.29</v>
      </c>
      <c r="E35" s="15">
        <v>3.36</v>
      </c>
      <c r="F35" s="15">
        <v>3.81</v>
      </c>
      <c r="G35" s="16"/>
      <c r="H35" s="16"/>
    </row>
    <row r="36" spans="1:8" x14ac:dyDescent="0.25">
      <c r="A36" s="15" cm="1">
        <f t="array" ref="A36:F36">metric!A36:F36</f>
        <v>164.59199974982019</v>
      </c>
      <c r="B36" s="15">
        <v>3.05</v>
      </c>
      <c r="C36" s="15">
        <v>3.08</v>
      </c>
      <c r="D36" s="15">
        <v>3.31</v>
      </c>
      <c r="E36" s="15">
        <v>3.4</v>
      </c>
      <c r="F36" s="15">
        <v>3.82</v>
      </c>
      <c r="G36" s="16"/>
      <c r="H36" s="16"/>
    </row>
    <row r="37" spans="1:8" x14ac:dyDescent="0.25">
      <c r="A37" s="15" cm="1">
        <f t="array" ref="A37:F37">metric!A37:F37</f>
        <v>169.16399974287074</v>
      </c>
      <c r="B37" s="15">
        <v>3.07</v>
      </c>
      <c r="C37" s="15">
        <v>3.11</v>
      </c>
      <c r="D37" s="15">
        <v>3.34</v>
      </c>
      <c r="E37" s="15">
        <v>3.43</v>
      </c>
      <c r="F37" s="15">
        <v>3.83</v>
      </c>
      <c r="G37" s="16"/>
      <c r="H37" s="16"/>
    </row>
    <row r="38" spans="1:8" x14ac:dyDescent="0.25">
      <c r="A38" s="15" cm="1">
        <f t="array" ref="A38:F38">metric!A38:F38</f>
        <v>173.7359997359213</v>
      </c>
      <c r="B38" s="15">
        <v>3.09</v>
      </c>
      <c r="C38" s="15">
        <v>3.13</v>
      </c>
      <c r="D38" s="15">
        <v>3.37</v>
      </c>
      <c r="E38" s="15">
        <v>3.47</v>
      </c>
      <c r="F38" s="15">
        <v>3.84</v>
      </c>
      <c r="G38" s="16"/>
      <c r="H38" s="16"/>
    </row>
    <row r="39" spans="1:8" x14ac:dyDescent="0.25">
      <c r="A39" s="15" cm="1">
        <f t="array" ref="A39:F39">metric!A39:F39</f>
        <v>178.30799972897185</v>
      </c>
      <c r="B39" s="15">
        <v>3.11</v>
      </c>
      <c r="C39" s="15">
        <v>3.16</v>
      </c>
      <c r="D39" s="15">
        <v>3.4</v>
      </c>
      <c r="E39" s="15">
        <v>3.51</v>
      </c>
      <c r="F39" s="15">
        <v>3.86</v>
      </c>
      <c r="G39" s="16"/>
      <c r="H39" s="16"/>
    </row>
    <row r="40" spans="1:8" x14ac:dyDescent="0.25">
      <c r="A40" s="15" cm="1">
        <f t="array" ref="A40:F40">metric!A40:F40</f>
        <v>182.8799997220224</v>
      </c>
      <c r="B40" s="15">
        <v>3.12</v>
      </c>
      <c r="C40" s="15">
        <v>3.19</v>
      </c>
      <c r="D40" s="15">
        <v>3.42</v>
      </c>
      <c r="E40" s="15">
        <v>3.55</v>
      </c>
      <c r="F40" s="15">
        <v>3.87</v>
      </c>
      <c r="G40" s="16"/>
      <c r="H40" s="16"/>
    </row>
    <row r="41" spans="1:8" x14ac:dyDescent="0.25">
      <c r="A41" s="15" cm="1">
        <f t="array" ref="A41:F41">metric!A41:F41</f>
        <v>192.02399970812354</v>
      </c>
      <c r="B41" s="15">
        <v>3.14</v>
      </c>
      <c r="C41" s="15">
        <v>3.26</v>
      </c>
      <c r="D41" s="15">
        <v>3.48</v>
      </c>
      <c r="E41" s="15">
        <v>3.62</v>
      </c>
      <c r="F41" s="15">
        <v>3.89</v>
      </c>
      <c r="G41" s="16"/>
      <c r="H41" s="16"/>
    </row>
    <row r="42" spans="1:8" x14ac:dyDescent="0.25">
      <c r="A42" s="15" cm="1">
        <f t="array" ref="A42:F42">metric!A42:F42</f>
        <v>201.16799969422465</v>
      </c>
      <c r="B42" s="15">
        <v>3.17</v>
      </c>
      <c r="C42" s="15">
        <v>3.32</v>
      </c>
      <c r="D42" s="15">
        <v>3.53</v>
      </c>
      <c r="E42" s="15">
        <v>3.7</v>
      </c>
      <c r="F42" s="15">
        <v>3.92</v>
      </c>
      <c r="G42" s="16"/>
      <c r="H42" s="16"/>
    </row>
    <row r="43" spans="1:8" x14ac:dyDescent="0.25">
      <c r="A43" s="15" cm="1">
        <f t="array" ref="A43:F43">metric!A43:F43</f>
        <v>210.31199968032578</v>
      </c>
      <c r="B43" s="15">
        <v>3.21</v>
      </c>
      <c r="C43" s="15">
        <v>3.39</v>
      </c>
      <c r="D43" s="15">
        <v>3.8</v>
      </c>
      <c r="E43" s="15">
        <v>3.77</v>
      </c>
      <c r="F43" s="15">
        <v>3.95</v>
      </c>
      <c r="G43" s="16"/>
      <c r="H43" s="16"/>
    </row>
    <row r="44" spans="1:8" x14ac:dyDescent="0.25">
      <c r="A44" s="15" cm="1">
        <f t="array" ref="A44:F44">metric!A44:F44</f>
        <v>219.45599966642689</v>
      </c>
      <c r="B44" s="15">
        <v>3.25</v>
      </c>
      <c r="C44" s="15">
        <v>3.45</v>
      </c>
      <c r="D44" s="15">
        <v>3.64</v>
      </c>
      <c r="E44" s="15">
        <v>3.84</v>
      </c>
      <c r="F44" s="15">
        <v>3.97</v>
      </c>
      <c r="G44" s="16"/>
      <c r="H44" s="16"/>
    </row>
    <row r="45" spans="1:8" x14ac:dyDescent="0.25">
      <c r="A45" s="15" cm="1">
        <f t="array" ref="A45:F45">metric!A45:F45</f>
        <v>228.59999965252803</v>
      </c>
      <c r="B45" s="15">
        <v>3.35</v>
      </c>
      <c r="C45" s="15">
        <v>3.52</v>
      </c>
      <c r="D45" s="15">
        <v>3.69</v>
      </c>
      <c r="E45" s="15">
        <v>3.88</v>
      </c>
      <c r="F45" s="15">
        <v>4</v>
      </c>
      <c r="G45" s="16"/>
      <c r="H45" s="16"/>
    </row>
    <row r="46" spans="1:8" x14ac:dyDescent="0.25">
      <c r="A46" s="15" cm="1">
        <f t="array" ref="A46:F46">metric!A46:F46</f>
        <v>237.74399963862913</v>
      </c>
      <c r="B46" s="15">
        <v>3.45</v>
      </c>
      <c r="C46" s="15">
        <v>3.58</v>
      </c>
      <c r="D46" s="15">
        <v>3.74</v>
      </c>
      <c r="E46" s="15">
        <v>3.93</v>
      </c>
      <c r="F46" s="15">
        <v>4.03</v>
      </c>
      <c r="G46" s="16"/>
      <c r="H46" s="16"/>
    </row>
    <row r="47" spans="1:8" x14ac:dyDescent="0.25">
      <c r="A47" s="15" cm="1">
        <f t="array" ref="A47:F47">metric!A47:F47</f>
        <v>246.88799962473027</v>
      </c>
      <c r="B47" s="15">
        <v>3.55</v>
      </c>
      <c r="C47" s="15">
        <v>3.63</v>
      </c>
      <c r="D47" s="15">
        <v>3.78</v>
      </c>
      <c r="E47" s="15">
        <v>3.96</v>
      </c>
      <c r="F47" s="15">
        <v>4.07</v>
      </c>
      <c r="G47" s="16"/>
      <c r="H47" s="16"/>
    </row>
    <row r="48" spans="1:8" x14ac:dyDescent="0.25">
      <c r="A48" s="15" cm="1">
        <f t="array" ref="A48:F48">metric!A48:F48</f>
        <v>256.03199961083141</v>
      </c>
      <c r="B48" s="15">
        <v>3.65</v>
      </c>
      <c r="C48" s="15">
        <v>3.69</v>
      </c>
      <c r="D48" s="15">
        <v>3.83</v>
      </c>
      <c r="E48" s="15">
        <v>4</v>
      </c>
      <c r="F48" s="15">
        <v>4.0999999999999996</v>
      </c>
    </row>
    <row r="49" spans="1:6" x14ac:dyDescent="0.25">
      <c r="A49" s="15" cm="1">
        <f t="array" ref="A49:F49">metric!A49:F49</f>
        <v>265.17599959693251</v>
      </c>
      <c r="B49" s="15">
        <v>3.68</v>
      </c>
      <c r="C49" s="15">
        <v>3.74</v>
      </c>
      <c r="D49" s="15">
        <v>3.87</v>
      </c>
      <c r="E49" s="15">
        <v>4.0199999999999996</v>
      </c>
      <c r="F49" s="15">
        <v>4.1500000000000004</v>
      </c>
    </row>
    <row r="50" spans="1:6" x14ac:dyDescent="0.25">
      <c r="A50" s="15" cm="1">
        <f t="array" ref="A50:F50">metric!A50:F50</f>
        <v>274.31999958303362</v>
      </c>
      <c r="B50" s="15">
        <v>3.71</v>
      </c>
      <c r="C50" s="15">
        <v>3.78</v>
      </c>
      <c r="D50" s="15">
        <v>3.9</v>
      </c>
      <c r="E50" s="15">
        <v>4.04</v>
      </c>
      <c r="F50" s="15">
        <v>4.2</v>
      </c>
    </row>
    <row r="51" spans="1:6" x14ac:dyDescent="0.25">
      <c r="A51" s="15" cm="1">
        <f t="array" ref="A51:F51">metric!A51:F51</f>
        <v>292.60799955523589</v>
      </c>
      <c r="B51" s="15">
        <v>3.79</v>
      </c>
      <c r="C51" s="15">
        <v>3.84</v>
      </c>
      <c r="D51" s="15">
        <v>3.95</v>
      </c>
      <c r="E51" s="15">
        <v>4.12</v>
      </c>
      <c r="F51" s="15">
        <v>4.3099999999999996</v>
      </c>
    </row>
    <row r="52" spans="1:6" x14ac:dyDescent="0.25">
      <c r="A52" s="15" cm="1">
        <f t="array" ref="A52:F52">metric!A52:F52</f>
        <v>310.89599952743811</v>
      </c>
      <c r="B52" s="15">
        <v>3.86</v>
      </c>
      <c r="C52" s="15">
        <v>3.88</v>
      </c>
      <c r="D52" s="15">
        <v>4.0199999999999996</v>
      </c>
      <c r="E52" s="15">
        <v>4.26</v>
      </c>
      <c r="F52" s="15">
        <v>4.4400000000000004</v>
      </c>
    </row>
    <row r="53" spans="1:6" x14ac:dyDescent="0.25">
      <c r="A53" s="15" cm="1">
        <f t="array" ref="A53:F53">metric!A53:F53</f>
        <v>329.18399949964038</v>
      </c>
      <c r="B53" s="15">
        <v>3.92</v>
      </c>
      <c r="C53" s="15">
        <v>3.95</v>
      </c>
      <c r="D53" s="15">
        <v>4.1100000000000003</v>
      </c>
      <c r="E53" s="15">
        <v>4.41</v>
      </c>
      <c r="F53" s="15">
        <v>4.5599999999999996</v>
      </c>
    </row>
    <row r="54" spans="1:6" x14ac:dyDescent="0.25">
      <c r="A54" s="15" cm="1">
        <f t="array" ref="A54:F54">metric!A54:F54</f>
        <v>347.47199947184259</v>
      </c>
      <c r="B54" s="15">
        <v>3.96</v>
      </c>
      <c r="C54" s="15">
        <v>4.03</v>
      </c>
      <c r="D54" s="15">
        <v>4.21</v>
      </c>
      <c r="E54" s="15">
        <v>4.55</v>
      </c>
      <c r="F54" s="15">
        <v>4.66</v>
      </c>
    </row>
    <row r="55" spans="1:6" x14ac:dyDescent="0.25">
      <c r="A55" s="15" cm="1">
        <f t="array" ref="A55:F55">metric!A55:F55</f>
        <v>365.75999944404481</v>
      </c>
      <c r="B55" s="15">
        <v>3.99</v>
      </c>
      <c r="C55" s="15">
        <v>4.1100000000000003</v>
      </c>
      <c r="D55" s="15">
        <v>4.3</v>
      </c>
      <c r="E55" s="15">
        <v>4.6900000000000004</v>
      </c>
      <c r="F55" s="15">
        <v>4.75</v>
      </c>
    </row>
    <row r="56" spans="1:6" x14ac:dyDescent="0.25">
      <c r="A56" s="15" cm="1">
        <f t="array" ref="A56:F56">metric!A56:F56</f>
        <v>384.04799941624708</v>
      </c>
      <c r="B56" s="15">
        <v>4.0199999999999996</v>
      </c>
      <c r="C56" s="15">
        <v>4.1500000000000004</v>
      </c>
      <c r="D56" s="15">
        <v>4.34</v>
      </c>
      <c r="E56" s="15">
        <v>4.7300000000000004</v>
      </c>
      <c r="F56" s="15">
        <v>4.79</v>
      </c>
    </row>
    <row r="57" spans="1:6" x14ac:dyDescent="0.25">
      <c r="A57" s="15" cm="1">
        <f t="array" ref="A57:F57">metric!A57:F57</f>
        <v>402.3359993884493</v>
      </c>
      <c r="B57" s="15">
        <v>4.08</v>
      </c>
      <c r="C57" s="15">
        <v>4.2</v>
      </c>
      <c r="D57" s="15">
        <v>4.3899999999999997</v>
      </c>
      <c r="E57" s="15">
        <v>4.78</v>
      </c>
      <c r="F57" s="15">
        <v>4.84</v>
      </c>
    </row>
    <row r="58" spans="1:6" x14ac:dyDescent="0.25">
      <c r="A58" s="15" cm="1">
        <f t="array" ref="A58:F58">metric!A58:F58</f>
        <v>420.62399936065157</v>
      </c>
      <c r="B58" s="15">
        <v>4.17</v>
      </c>
      <c r="C58" s="15">
        <v>4.29</v>
      </c>
      <c r="D58" s="15">
        <v>4.4800000000000004</v>
      </c>
      <c r="E58" s="15">
        <v>4.87</v>
      </c>
      <c r="F58" s="15">
        <v>4.93</v>
      </c>
    </row>
    <row r="59" spans="1:6" x14ac:dyDescent="0.25">
      <c r="A59" s="15" cm="1">
        <f t="array" ref="A59:F59">metric!A59:F59</f>
        <v>438.91199933285378</v>
      </c>
      <c r="B59" s="15">
        <v>4.28</v>
      </c>
      <c r="C59" s="15">
        <v>4.4000000000000004</v>
      </c>
      <c r="D59" s="15">
        <v>4.59</v>
      </c>
      <c r="E59" s="15">
        <v>4.9800000000000004</v>
      </c>
      <c r="F59" s="15">
        <v>5.04</v>
      </c>
    </row>
    <row r="60" spans="1:6" x14ac:dyDescent="0.25">
      <c r="A60" s="15" cm="1">
        <f t="array" ref="A60:F60">metric!A60:F60</f>
        <v>457.19999930505605</v>
      </c>
      <c r="B60" s="15">
        <v>4.41</v>
      </c>
      <c r="C60" s="15">
        <v>4.53</v>
      </c>
      <c r="D60" s="15">
        <v>4.72</v>
      </c>
      <c r="E60" s="15">
        <v>5.1100000000000003</v>
      </c>
      <c r="F60" s="15">
        <v>5.17</v>
      </c>
    </row>
    <row r="61" spans="1:6" x14ac:dyDescent="0.25">
      <c r="A61" s="15" cm="1">
        <f t="array" ref="A61:F61">metric!A61:F61</f>
        <v>475.48799927725827</v>
      </c>
      <c r="B61" s="15">
        <v>4.54</v>
      </c>
      <c r="C61" s="15">
        <v>4.8499999999999996</v>
      </c>
      <c r="D61" s="15">
        <v>4.8499999999999996</v>
      </c>
      <c r="E61" s="15">
        <v>5.24</v>
      </c>
      <c r="F61" s="15">
        <v>5.3</v>
      </c>
    </row>
    <row r="62" spans="1:6" x14ac:dyDescent="0.25">
      <c r="A62" s="15" cm="1">
        <f t="array" ref="A62:F62">metric!A62:F62</f>
        <v>493.77599924946054</v>
      </c>
      <c r="B62" s="15">
        <v>4.6500000000000004</v>
      </c>
      <c r="C62" s="15">
        <v>4.97</v>
      </c>
      <c r="D62" s="15">
        <v>4.97</v>
      </c>
      <c r="E62" s="15">
        <v>5.36</v>
      </c>
      <c r="F62" s="15">
        <v>5.42</v>
      </c>
    </row>
    <row r="63" spans="1:6" x14ac:dyDescent="0.25">
      <c r="A63" s="15" cm="1">
        <f t="array" ref="A63:F63">metric!A63:F63</f>
        <v>512.06399922166281</v>
      </c>
      <c r="B63" s="15">
        <v>4.74</v>
      </c>
      <c r="C63" s="15">
        <v>5.05</v>
      </c>
      <c r="D63" s="15">
        <v>5.05</v>
      </c>
      <c r="E63" s="15">
        <v>5.44</v>
      </c>
      <c r="F63" s="15">
        <v>5.5</v>
      </c>
    </row>
    <row r="64" spans="1:6" x14ac:dyDescent="0.25">
      <c r="A64" s="15" cm="1">
        <f t="array" ref="A64:F64">metric!A64:F64</f>
        <v>530.35199919386503</v>
      </c>
      <c r="B64" s="15">
        <v>4.79</v>
      </c>
      <c r="C64" s="15">
        <v>5.0999999999999996</v>
      </c>
      <c r="D64" s="15">
        <v>5.0999999999999996</v>
      </c>
      <c r="E64" s="15">
        <v>5.49</v>
      </c>
      <c r="F64" s="15">
        <v>5.55</v>
      </c>
    </row>
    <row r="65" spans="1:6" x14ac:dyDescent="0.25">
      <c r="A65" s="15" cm="1">
        <f t="array" ref="A65:F65">metric!A65:F65</f>
        <v>548.63999916606724</v>
      </c>
      <c r="B65" s="15">
        <v>4.82</v>
      </c>
      <c r="C65" s="15">
        <v>5.13</v>
      </c>
      <c r="D65" s="15">
        <v>5.13</v>
      </c>
      <c r="E65" s="15">
        <v>5.52</v>
      </c>
      <c r="F65" s="15">
        <v>5.58</v>
      </c>
    </row>
    <row r="66" spans="1:6" x14ac:dyDescent="0.25">
      <c r="A66" s="15"/>
      <c r="B66" s="15"/>
      <c r="C66" s="15"/>
      <c r="D66" s="15"/>
      <c r="E66" s="15"/>
      <c r="F66" s="15"/>
    </row>
    <row r="67" spans="1:6" x14ac:dyDescent="0.25">
      <c r="A67" s="15" t="str" cm="1">
        <f t="array" ref="A67:B67">metric!I1:J1</f>
        <v>DISTANCE</v>
      </c>
      <c r="B67" s="15" t="str">
        <v>GREEN</v>
      </c>
      <c r="C67" s="15"/>
      <c r="D67" s="15"/>
      <c r="E67" s="15"/>
      <c r="F67" s="15"/>
    </row>
    <row r="68" spans="1:6" x14ac:dyDescent="0.25">
      <c r="A68" s="15" cm="1">
        <f t="array" ref="A68:B68">metric!I2:J2</f>
        <v>0.304799999536704</v>
      </c>
      <c r="B68" s="15">
        <v>1</v>
      </c>
      <c r="C68" s="15"/>
      <c r="D68" s="15"/>
      <c r="E68" s="15"/>
      <c r="F68" s="15"/>
    </row>
    <row r="69" spans="1:6" x14ac:dyDescent="0.25">
      <c r="A69" s="15" cm="1">
        <f t="array" ref="A69:B69">metric!I3:J3</f>
        <v>0.91439999861011201</v>
      </c>
      <c r="B69" s="15">
        <v>1.04</v>
      </c>
      <c r="C69" s="15"/>
      <c r="D69" s="15"/>
      <c r="E69" s="15"/>
      <c r="F69" s="15"/>
    </row>
    <row r="70" spans="1:6" x14ac:dyDescent="0.25">
      <c r="A70" s="15" cm="1">
        <f t="array" ref="A70:B70">metric!I4:J4</f>
        <v>1.219199998146816</v>
      </c>
      <c r="B70" s="15">
        <v>1.1299999999999999</v>
      </c>
      <c r="C70" s="15"/>
      <c r="D70" s="15"/>
      <c r="E70" s="15"/>
      <c r="F70" s="15"/>
    </row>
    <row r="71" spans="1:6" x14ac:dyDescent="0.25">
      <c r="A71" s="15" cm="1">
        <f t="array" ref="A71:B71">metric!I5:J5</f>
        <v>1.5239999976835199</v>
      </c>
      <c r="B71" s="15">
        <v>1.23</v>
      </c>
      <c r="C71" s="15"/>
      <c r="D71" s="15"/>
      <c r="E71" s="15"/>
      <c r="F71" s="15"/>
    </row>
    <row r="72" spans="1:6" x14ac:dyDescent="0.25">
      <c r="A72" s="15" cm="1">
        <f t="array" ref="A72:B72">metric!I6:J6</f>
        <v>1.828799997220224</v>
      </c>
      <c r="B72" s="15">
        <v>1.34</v>
      </c>
      <c r="C72" s="15"/>
      <c r="D72" s="15"/>
      <c r="E72" s="15"/>
      <c r="F72" s="15"/>
    </row>
    <row r="73" spans="1:6" x14ac:dyDescent="0.25">
      <c r="A73" s="15" cm="1">
        <f t="array" ref="A73:B73">metric!I7:J7</f>
        <v>2.1335999967569279</v>
      </c>
      <c r="B73" s="15">
        <v>1.42</v>
      </c>
      <c r="C73" s="15"/>
      <c r="D73" s="15"/>
      <c r="E73" s="15"/>
      <c r="F73" s="15"/>
    </row>
    <row r="74" spans="1:6" x14ac:dyDescent="0.25">
      <c r="A74" s="15" cm="1">
        <f t="array" ref="A74:B74">metric!I8:J8</f>
        <v>2.438399996293632</v>
      </c>
      <c r="B74" s="15">
        <v>1.5</v>
      </c>
      <c r="C74" s="15"/>
      <c r="D74" s="15"/>
      <c r="E74" s="15"/>
      <c r="F74" s="15"/>
    </row>
    <row r="75" spans="1:6" x14ac:dyDescent="0.25">
      <c r="A75" s="15" cm="1">
        <f t="array" ref="A75:B75">metric!I9:J9</f>
        <v>2.7431999958303357</v>
      </c>
      <c r="B75" s="15">
        <v>1.56</v>
      </c>
      <c r="C75" s="15"/>
      <c r="D75" s="15"/>
      <c r="E75" s="15"/>
      <c r="F75" s="15"/>
    </row>
    <row r="76" spans="1:6" x14ac:dyDescent="0.25">
      <c r="A76" s="15" cm="1">
        <f t="array" ref="A76:B76">metric!I10:J10</f>
        <v>3.0479999953670398</v>
      </c>
      <c r="B76" s="15">
        <v>1.61</v>
      </c>
      <c r="C76" s="15"/>
      <c r="D76" s="15"/>
      <c r="E76" s="15"/>
      <c r="F76" s="15"/>
    </row>
    <row r="77" spans="1:6" x14ac:dyDescent="0.25">
      <c r="A77" s="15" cm="1">
        <f t="array" ref="A77:B77">metric!I11:J11</f>
        <v>4.5719999930505599</v>
      </c>
      <c r="B77" s="15">
        <v>1.78</v>
      </c>
      <c r="C77" s="15"/>
      <c r="D77" s="15"/>
      <c r="E77" s="15"/>
      <c r="F77" s="15"/>
    </row>
    <row r="78" spans="1:6" x14ac:dyDescent="0.25">
      <c r="A78" s="15" cm="1">
        <f t="array" ref="A78:B78">metric!I12:J12</f>
        <v>6.0959999907340796</v>
      </c>
      <c r="B78" s="15">
        <v>1.87</v>
      </c>
      <c r="C78" s="15"/>
      <c r="D78" s="15"/>
      <c r="E78" s="15"/>
      <c r="F78" s="15"/>
    </row>
    <row r="79" spans="1:6" x14ac:dyDescent="0.25">
      <c r="A79" s="15" cm="1">
        <f t="array" ref="A79:B79">metric!I13:J13</f>
        <v>9.1439999861011199</v>
      </c>
      <c r="B79" s="15">
        <v>1.98</v>
      </c>
      <c r="C79" s="15"/>
      <c r="D79" s="15"/>
      <c r="E79" s="15"/>
      <c r="F79" s="15"/>
    </row>
    <row r="80" spans="1:6" x14ac:dyDescent="0.25">
      <c r="A80" s="15" cm="1">
        <f t="array" ref="A80:B80">metric!I14:J14</f>
        <v>12.191999981468159</v>
      </c>
      <c r="B80" s="15">
        <v>2.06</v>
      </c>
      <c r="C80" s="15"/>
      <c r="D80" s="15"/>
      <c r="E80" s="15"/>
      <c r="F80" s="15"/>
    </row>
    <row r="81" spans="1:6" x14ac:dyDescent="0.25">
      <c r="A81" s="15" cm="1">
        <f t="array" ref="A81:B81">metric!I15:J15</f>
        <v>15.239999976835199</v>
      </c>
      <c r="B81" s="15">
        <v>2.14</v>
      </c>
      <c r="C81" s="15"/>
      <c r="D81" s="15"/>
      <c r="E81" s="15"/>
      <c r="F81" s="15"/>
    </row>
    <row r="82" spans="1:6" x14ac:dyDescent="0.25">
      <c r="A82" s="15" cm="1">
        <f t="array" ref="A82:B82">metric!I16:J16</f>
        <v>18.28799997220224</v>
      </c>
      <c r="B82" s="15">
        <v>2.21</v>
      </c>
      <c r="C82" s="15"/>
      <c r="D82" s="15"/>
      <c r="E82" s="15"/>
      <c r="F82" s="15"/>
    </row>
    <row r="83" spans="1:6" x14ac:dyDescent="0.25">
      <c r="A83" s="15" cm="1">
        <f t="array" ref="A83:B83">metric!I17:J17</f>
        <v>27.431999958303358</v>
      </c>
      <c r="B83" s="15">
        <v>2.4</v>
      </c>
      <c r="C83" s="15"/>
      <c r="D83" s="15"/>
      <c r="E83" s="15"/>
      <c r="F83" s="15"/>
    </row>
    <row r="84" spans="1:6" x14ac:dyDescent="0.25">
      <c r="A84" s="15"/>
      <c r="B84" s="15"/>
      <c r="C84" s="15"/>
      <c r="D84" s="15"/>
      <c r="E84" s="15"/>
      <c r="F84" s="15"/>
    </row>
    <row r="85" spans="1:6" x14ac:dyDescent="0.25">
      <c r="A85" s="15"/>
      <c r="B85" s="15"/>
      <c r="C85" s="15"/>
      <c r="D85" s="15"/>
      <c r="E85" s="15"/>
      <c r="F85" s="15"/>
    </row>
    <row r="86" spans="1:6" x14ac:dyDescent="0.25">
      <c r="A86" s="15"/>
      <c r="B86" s="15"/>
      <c r="C86" s="15"/>
      <c r="D86" s="15"/>
      <c r="E86" s="15"/>
      <c r="F86" s="15"/>
    </row>
    <row r="87" spans="1:6" x14ac:dyDescent="0.25">
      <c r="A87" s="15"/>
      <c r="B87" s="15"/>
      <c r="C87" s="15"/>
      <c r="D87" s="15"/>
      <c r="E87" s="15"/>
      <c r="F87" s="15"/>
    </row>
    <row r="88" spans="1:6" x14ac:dyDescent="0.25">
      <c r="A88" s="15"/>
      <c r="B88" s="15"/>
      <c r="C88" s="15"/>
      <c r="D88" s="15"/>
      <c r="E88" s="15"/>
      <c r="F88" s="15"/>
    </row>
    <row r="89" spans="1:6" x14ac:dyDescent="0.25">
      <c r="A89" s="15"/>
      <c r="B89" s="15"/>
      <c r="C89" s="15"/>
      <c r="D89" s="15"/>
      <c r="E89" s="15"/>
      <c r="F89" s="15"/>
    </row>
    <row r="90" spans="1:6" x14ac:dyDescent="0.25">
      <c r="A90" s="15"/>
      <c r="B90" s="15"/>
      <c r="C90" s="15"/>
      <c r="D90" s="15"/>
      <c r="E90" s="15"/>
      <c r="F90" s="15"/>
    </row>
    <row r="91" spans="1:6" x14ac:dyDescent="0.25">
      <c r="A91" s="15"/>
      <c r="B91" s="15"/>
      <c r="C91" s="15"/>
      <c r="D91" s="15"/>
      <c r="E91" s="15"/>
      <c r="F91" s="15"/>
    </row>
    <row r="92" spans="1:6" x14ac:dyDescent="0.25">
      <c r="A92" s="15"/>
      <c r="B92" s="15"/>
      <c r="C92" s="15"/>
      <c r="D92" s="15"/>
      <c r="E92" s="15"/>
      <c r="F92" s="15"/>
    </row>
    <row r="93" spans="1:6" x14ac:dyDescent="0.25">
      <c r="A93" s="15"/>
      <c r="B93" s="15"/>
      <c r="C93" s="15"/>
      <c r="D93" s="15"/>
      <c r="E93" s="15"/>
      <c r="F93" s="15"/>
    </row>
    <row r="94" spans="1:6" x14ac:dyDescent="0.25">
      <c r="A94" s="15"/>
      <c r="B94" s="15"/>
      <c r="C94" s="15"/>
      <c r="D94" s="15"/>
      <c r="E94" s="15"/>
      <c r="F94" s="15"/>
    </row>
    <row r="95" spans="1:6" x14ac:dyDescent="0.25">
      <c r="A95" s="15"/>
      <c r="B95" s="15"/>
      <c r="C95" s="15"/>
      <c r="D95" s="15"/>
      <c r="E95" s="15"/>
      <c r="F95" s="15"/>
    </row>
    <row r="96" spans="1:6" x14ac:dyDescent="0.25">
      <c r="A96" s="15"/>
      <c r="B96" s="15"/>
      <c r="C96" s="15"/>
      <c r="D96" s="15"/>
      <c r="E96" s="15"/>
      <c r="F96" s="15"/>
    </row>
    <row r="97" spans="1:6" x14ac:dyDescent="0.25">
      <c r="A97" s="15"/>
      <c r="B97" s="15"/>
      <c r="C97" s="15"/>
      <c r="D97" s="15"/>
      <c r="E97" s="15"/>
      <c r="F97" s="15"/>
    </row>
    <row r="98" spans="1:6" x14ac:dyDescent="0.25">
      <c r="A98" s="15"/>
      <c r="B98" s="15"/>
      <c r="C98" s="15"/>
      <c r="D98" s="15"/>
      <c r="E98" s="15"/>
      <c r="F98" s="15"/>
    </row>
    <row r="99" spans="1:6" x14ac:dyDescent="0.25">
      <c r="A99" s="15"/>
      <c r="B99" s="15"/>
      <c r="C99" s="15"/>
      <c r="D99" s="15"/>
      <c r="E99" s="15"/>
      <c r="F99" s="15"/>
    </row>
    <row r="100" spans="1:6" x14ac:dyDescent="0.25">
      <c r="A100" s="15"/>
      <c r="B100" s="15"/>
      <c r="C100" s="15"/>
      <c r="D100" s="15"/>
      <c r="E100" s="15"/>
      <c r="F100" s="15"/>
    </row>
    <row r="101" spans="1:6" x14ac:dyDescent="0.25">
      <c r="A101" s="15"/>
      <c r="B101" s="15"/>
      <c r="C101" s="15"/>
      <c r="D101" s="15"/>
      <c r="E101" s="15"/>
      <c r="F101" s="15"/>
    </row>
    <row r="102" spans="1:6" x14ac:dyDescent="0.25">
      <c r="A102" s="15"/>
      <c r="B102" s="15"/>
      <c r="C102" s="15"/>
      <c r="D102" s="15"/>
      <c r="E102" s="15"/>
      <c r="F102" s="15"/>
    </row>
    <row r="103" spans="1:6" x14ac:dyDescent="0.25">
      <c r="A103" s="15"/>
      <c r="B103" s="15"/>
      <c r="C103" s="15"/>
      <c r="D103" s="15"/>
      <c r="E103" s="15"/>
      <c r="F103" s="15"/>
    </row>
    <row r="104" spans="1:6" x14ac:dyDescent="0.25">
      <c r="A104" s="15"/>
      <c r="B104" s="15"/>
      <c r="C104" s="15"/>
      <c r="D104" s="15"/>
      <c r="E104" s="15"/>
      <c r="F104" s="15"/>
    </row>
    <row r="105" spans="1:6" x14ac:dyDescent="0.25">
      <c r="A105" s="15"/>
      <c r="B105" s="15"/>
      <c r="C105" s="15"/>
      <c r="D105" s="15"/>
      <c r="E105" s="15"/>
      <c r="F105" s="15"/>
    </row>
    <row r="106" spans="1:6" x14ac:dyDescent="0.25">
      <c r="A106" s="15"/>
      <c r="B106" s="15"/>
      <c r="C106" s="15"/>
      <c r="D106" s="15"/>
      <c r="E106" s="15"/>
      <c r="F106" s="15"/>
    </row>
    <row r="107" spans="1:6" x14ac:dyDescent="0.25">
      <c r="A107" s="15"/>
      <c r="B107" s="15"/>
      <c r="C107" s="15"/>
      <c r="D107" s="15"/>
      <c r="E107" s="15"/>
      <c r="F107" s="15"/>
    </row>
    <row r="108" spans="1:6" x14ac:dyDescent="0.25">
      <c r="A108" s="15"/>
      <c r="B108" s="15"/>
      <c r="C108" s="15"/>
      <c r="D108" s="15"/>
      <c r="E108" s="15"/>
      <c r="F108" s="15"/>
    </row>
    <row r="109" spans="1:6" x14ac:dyDescent="0.25">
      <c r="A109" s="15"/>
      <c r="B109" s="15"/>
      <c r="C109" s="15"/>
      <c r="D109" s="15"/>
      <c r="E109" s="15"/>
      <c r="F109" s="15"/>
    </row>
    <row r="110" spans="1:6" x14ac:dyDescent="0.25">
      <c r="A110" s="15"/>
      <c r="B110" s="15"/>
      <c r="C110" s="15"/>
      <c r="D110" s="15"/>
      <c r="E110" s="15"/>
      <c r="F110" s="15"/>
    </row>
    <row r="111" spans="1:6" x14ac:dyDescent="0.25">
      <c r="A111" s="15"/>
      <c r="B111" s="15"/>
      <c r="C111" s="15"/>
      <c r="D111" s="15"/>
      <c r="E111" s="15"/>
      <c r="F111" s="15"/>
    </row>
    <row r="112" spans="1:6" x14ac:dyDescent="0.25">
      <c r="A112" s="15"/>
      <c r="B112" s="15"/>
      <c r="C112" s="15"/>
      <c r="D112" s="15"/>
      <c r="E112" s="15"/>
      <c r="F112" s="15"/>
    </row>
    <row r="113" spans="1:6" x14ac:dyDescent="0.25">
      <c r="A113" s="15"/>
      <c r="B113" s="15"/>
      <c r="C113" s="15"/>
      <c r="D113" s="15"/>
      <c r="E113" s="15"/>
      <c r="F113" s="15"/>
    </row>
    <row r="114" spans="1:6" x14ac:dyDescent="0.25">
      <c r="A114" s="15"/>
      <c r="B114" s="15"/>
      <c r="C114" s="15"/>
      <c r="D114" s="15"/>
      <c r="E114" s="15"/>
      <c r="F114" s="15"/>
    </row>
    <row r="115" spans="1:6" x14ac:dyDescent="0.25">
      <c r="A115" s="15"/>
      <c r="B115" s="15"/>
      <c r="C115" s="15"/>
      <c r="D115" s="15"/>
      <c r="E115" s="15"/>
      <c r="F115" s="15"/>
    </row>
    <row r="116" spans="1:6" x14ac:dyDescent="0.25">
      <c r="A116" s="15"/>
      <c r="B116" s="15"/>
      <c r="C116" s="15"/>
      <c r="D116" s="15"/>
      <c r="E116" s="15"/>
      <c r="F116" s="15"/>
    </row>
    <row r="117" spans="1:6" x14ac:dyDescent="0.25">
      <c r="A117" s="15"/>
      <c r="B117" s="15"/>
      <c r="C117" s="15"/>
      <c r="D117" s="15"/>
      <c r="E117" s="15"/>
      <c r="F117" s="15"/>
    </row>
    <row r="118" spans="1:6" x14ac:dyDescent="0.25">
      <c r="A118" s="15"/>
      <c r="B118" s="15"/>
      <c r="C118" s="15"/>
      <c r="D118" s="15"/>
      <c r="E118" s="15"/>
      <c r="F118" s="15"/>
    </row>
    <row r="119" spans="1:6" x14ac:dyDescent="0.25">
      <c r="A119" s="15"/>
      <c r="B119" s="15"/>
      <c r="C119" s="15"/>
      <c r="D119" s="15"/>
      <c r="E119" s="15"/>
      <c r="F119" s="15"/>
    </row>
    <row r="120" spans="1:6" x14ac:dyDescent="0.25">
      <c r="A120" s="15"/>
      <c r="B120" s="15"/>
      <c r="C120" s="15"/>
      <c r="D120" s="15"/>
      <c r="E120" s="15"/>
      <c r="F120" s="15"/>
    </row>
    <row r="121" spans="1:6" x14ac:dyDescent="0.25">
      <c r="A121" s="15"/>
      <c r="B121" s="15"/>
      <c r="C121" s="15"/>
      <c r="D121" s="15"/>
      <c r="E121" s="15"/>
      <c r="F121" s="15"/>
    </row>
    <row r="122" spans="1:6" x14ac:dyDescent="0.25">
      <c r="A122" s="15"/>
      <c r="B122" s="15"/>
      <c r="C122" s="15"/>
      <c r="D122" s="15"/>
      <c r="E122" s="15"/>
      <c r="F122" s="15"/>
    </row>
    <row r="123" spans="1:6" x14ac:dyDescent="0.25">
      <c r="A123" s="15"/>
      <c r="B123" s="15"/>
      <c r="C123" s="15"/>
      <c r="D123" s="15"/>
      <c r="E123" s="15"/>
      <c r="F123" s="15"/>
    </row>
    <row r="124" spans="1:6" x14ac:dyDescent="0.25">
      <c r="A124" s="15"/>
      <c r="B124" s="15"/>
      <c r="C124" s="15"/>
      <c r="D124" s="15"/>
      <c r="E124" s="15"/>
      <c r="F124" s="15"/>
    </row>
    <row r="125" spans="1:6" x14ac:dyDescent="0.25">
      <c r="A125" s="15"/>
      <c r="B125" s="15"/>
      <c r="C125" s="15"/>
      <c r="D125" s="15"/>
      <c r="E125" s="15"/>
      <c r="F125" s="15"/>
    </row>
    <row r="126" spans="1:6" x14ac:dyDescent="0.25">
      <c r="A126" s="15"/>
      <c r="B126" s="15"/>
      <c r="C126" s="15"/>
      <c r="D126" s="15"/>
      <c r="E126" s="15"/>
      <c r="F126" s="15"/>
    </row>
    <row r="127" spans="1:6" x14ac:dyDescent="0.25">
      <c r="A127" s="15"/>
      <c r="B127" s="15"/>
      <c r="C127" s="15"/>
      <c r="D127" s="15"/>
      <c r="E127" s="15"/>
      <c r="F127" s="15"/>
    </row>
    <row r="128" spans="1:6" x14ac:dyDescent="0.25">
      <c r="A128" s="15"/>
      <c r="B128" s="15"/>
      <c r="C128" s="15"/>
      <c r="D128" s="15"/>
      <c r="E128" s="15"/>
      <c r="F128" s="15"/>
    </row>
    <row r="129" spans="1:6" x14ac:dyDescent="0.25">
      <c r="A129" s="15"/>
      <c r="B129" s="15"/>
      <c r="C129" s="15"/>
      <c r="D129" s="15"/>
      <c r="E129" s="15"/>
      <c r="F129" s="15"/>
    </row>
    <row r="130" spans="1:6" x14ac:dyDescent="0.25">
      <c r="A130" s="15"/>
      <c r="B130" s="15"/>
      <c r="C130" s="15"/>
      <c r="D130" s="15"/>
      <c r="E130" s="15"/>
      <c r="F130" s="15"/>
    </row>
    <row r="131" spans="1:6" x14ac:dyDescent="0.25">
      <c r="A131" s="15"/>
      <c r="B131" s="15"/>
      <c r="C131" s="15"/>
      <c r="D131" s="15"/>
      <c r="E131" s="15"/>
      <c r="F131" s="15"/>
    </row>
    <row r="132" spans="1:6" x14ac:dyDescent="0.25">
      <c r="A132" s="15"/>
      <c r="B132" s="15"/>
      <c r="C132" s="15"/>
      <c r="D132" s="15"/>
      <c r="E132" s="15"/>
      <c r="F132" s="15"/>
    </row>
    <row r="133" spans="1:6" x14ac:dyDescent="0.25">
      <c r="A133" s="15"/>
      <c r="B133" s="15"/>
      <c r="C133" s="15"/>
      <c r="D133" s="15"/>
      <c r="E133" s="15"/>
      <c r="F133" s="15"/>
    </row>
    <row r="134" spans="1:6" x14ac:dyDescent="0.25">
      <c r="A134" s="15"/>
      <c r="B134" s="15"/>
      <c r="C134" s="15"/>
      <c r="D134" s="15"/>
      <c r="E134" s="15"/>
      <c r="F134" s="15"/>
    </row>
    <row r="135" spans="1:6" x14ac:dyDescent="0.25">
      <c r="A135" s="15"/>
      <c r="B135" s="15"/>
      <c r="C135" s="15"/>
      <c r="D135" s="15"/>
      <c r="E135" s="15"/>
      <c r="F135" s="15"/>
    </row>
    <row r="136" spans="1:6" x14ac:dyDescent="0.25">
      <c r="A136" s="15"/>
      <c r="B136" s="15"/>
      <c r="C136" s="15"/>
      <c r="D136" s="15"/>
      <c r="E136" s="15"/>
      <c r="F136" s="15"/>
    </row>
    <row r="137" spans="1:6" x14ac:dyDescent="0.25">
      <c r="A137" s="15"/>
      <c r="B137" s="15"/>
      <c r="C137" s="15"/>
      <c r="D137" s="15"/>
      <c r="E137" s="15"/>
      <c r="F137" s="15"/>
    </row>
    <row r="138" spans="1:6" x14ac:dyDescent="0.25">
      <c r="A138" s="15"/>
      <c r="B138" s="15"/>
      <c r="C138" s="15"/>
      <c r="D138" s="15"/>
      <c r="E138" s="15"/>
      <c r="F138" s="15"/>
    </row>
    <row r="139" spans="1:6" x14ac:dyDescent="0.25">
      <c r="A139" s="15"/>
      <c r="B139" s="15"/>
      <c r="C139" s="15"/>
      <c r="D139" s="15"/>
      <c r="E139" s="15"/>
      <c r="F139" s="15"/>
    </row>
    <row r="140" spans="1:6" x14ac:dyDescent="0.25">
      <c r="A140" s="15"/>
      <c r="B140" s="15"/>
      <c r="C140" s="15"/>
      <c r="D140" s="15"/>
      <c r="E140" s="15"/>
      <c r="F140" s="15"/>
    </row>
    <row r="141" spans="1:6" x14ac:dyDescent="0.25">
      <c r="A141" s="15"/>
      <c r="B141" s="15"/>
      <c r="C141" s="15"/>
      <c r="D141" s="15"/>
      <c r="E141" s="15"/>
      <c r="F141" s="15"/>
    </row>
    <row r="142" spans="1:6" x14ac:dyDescent="0.25">
      <c r="A142" s="15"/>
      <c r="B142" s="15"/>
      <c r="C142" s="15"/>
      <c r="D142" s="15"/>
      <c r="E142" s="15"/>
      <c r="F142" s="15"/>
    </row>
    <row r="143" spans="1:6" x14ac:dyDescent="0.25">
      <c r="A143" s="15"/>
      <c r="B143" s="15"/>
      <c r="C143" s="15"/>
      <c r="D143" s="15"/>
      <c r="E143" s="15"/>
      <c r="F143" s="15"/>
    </row>
    <row r="144" spans="1:6" x14ac:dyDescent="0.25">
      <c r="A144" s="15"/>
      <c r="B144" s="15"/>
      <c r="C144" s="15"/>
      <c r="D144" s="15"/>
      <c r="E144" s="15"/>
      <c r="F144" s="15"/>
    </row>
    <row r="145" spans="1:6" x14ac:dyDescent="0.25">
      <c r="A145" s="15"/>
      <c r="B145" s="15"/>
      <c r="C145" s="15"/>
      <c r="D145" s="15"/>
      <c r="E145" s="15"/>
      <c r="F145" s="15"/>
    </row>
    <row r="146" spans="1:6" x14ac:dyDescent="0.25">
      <c r="A146" s="15"/>
      <c r="B146" s="15"/>
      <c r="C146" s="15"/>
      <c r="D146" s="15"/>
      <c r="E146" s="15"/>
      <c r="F146" s="15"/>
    </row>
    <row r="147" spans="1:6" x14ac:dyDescent="0.25">
      <c r="A147" s="15"/>
      <c r="B147" s="15"/>
      <c r="C147" s="15"/>
      <c r="D147" s="15"/>
      <c r="E147" s="15"/>
      <c r="F147" s="15"/>
    </row>
    <row r="148" spans="1:6" x14ac:dyDescent="0.25">
      <c r="A148" s="15"/>
      <c r="B148" s="15"/>
      <c r="C148" s="15"/>
      <c r="D148" s="15"/>
      <c r="E148" s="15"/>
      <c r="F148" s="15"/>
    </row>
    <row r="149" spans="1:6" x14ac:dyDescent="0.25">
      <c r="A149" s="15"/>
      <c r="B149" s="15"/>
      <c r="C149" s="15"/>
      <c r="D149" s="15"/>
      <c r="E149" s="15"/>
      <c r="F149" s="15"/>
    </row>
    <row r="150" spans="1:6" x14ac:dyDescent="0.25">
      <c r="A150" s="15"/>
      <c r="B150" s="15"/>
      <c r="C150" s="15"/>
      <c r="D150" s="15"/>
      <c r="E150" s="15"/>
      <c r="F150" s="15"/>
    </row>
    <row r="151" spans="1:6" x14ac:dyDescent="0.25">
      <c r="A151" s="15"/>
      <c r="B151" s="15"/>
      <c r="C151" s="15"/>
      <c r="D151" s="15"/>
      <c r="E151" s="15"/>
      <c r="F151" s="15"/>
    </row>
    <row r="152" spans="1:6" x14ac:dyDescent="0.25">
      <c r="A152" s="15"/>
      <c r="B152" s="15"/>
      <c r="C152" s="15"/>
      <c r="D152" s="15"/>
      <c r="E152" s="15"/>
      <c r="F152" s="15"/>
    </row>
    <row r="153" spans="1:6" x14ac:dyDescent="0.25">
      <c r="A153" s="15"/>
      <c r="B153" s="15"/>
      <c r="C153" s="15"/>
      <c r="D153" s="15"/>
      <c r="E153" s="15"/>
      <c r="F153" s="15"/>
    </row>
    <row r="154" spans="1:6" x14ac:dyDescent="0.25">
      <c r="A154" s="15"/>
      <c r="B154" s="15"/>
      <c r="C154" s="15"/>
      <c r="D154" s="15"/>
      <c r="E154" s="15"/>
      <c r="F154" s="15"/>
    </row>
    <row r="155" spans="1:6" x14ac:dyDescent="0.25">
      <c r="A155" s="15"/>
      <c r="B155" s="15"/>
      <c r="C155" s="15"/>
      <c r="D155" s="15"/>
      <c r="E155" s="15"/>
      <c r="F155" s="15"/>
    </row>
    <row r="156" spans="1:6" x14ac:dyDescent="0.25">
      <c r="A156" s="15"/>
      <c r="B156" s="15"/>
      <c r="C156" s="15"/>
      <c r="D156" s="15"/>
      <c r="E156" s="15"/>
      <c r="F156" s="15"/>
    </row>
    <row r="157" spans="1:6" x14ac:dyDescent="0.25">
      <c r="A157" s="15"/>
      <c r="B157" s="15"/>
      <c r="C157" s="15"/>
      <c r="D157" s="15"/>
      <c r="E157" s="15"/>
      <c r="F157" s="15"/>
    </row>
    <row r="158" spans="1:6" x14ac:dyDescent="0.25">
      <c r="A158" s="15"/>
      <c r="B158" s="15"/>
      <c r="C158" s="15"/>
      <c r="D158" s="15"/>
      <c r="E158" s="15"/>
      <c r="F158" s="15"/>
    </row>
    <row r="159" spans="1:6" x14ac:dyDescent="0.25">
      <c r="A159" s="15"/>
      <c r="B159" s="15"/>
      <c r="C159" s="15"/>
      <c r="D159" s="15"/>
      <c r="E159" s="15"/>
      <c r="F159" s="15"/>
    </row>
    <row r="160" spans="1:6" x14ac:dyDescent="0.25">
      <c r="A160" s="15"/>
      <c r="B160" s="15"/>
      <c r="C160" s="15"/>
      <c r="D160" s="15"/>
      <c r="E160" s="15"/>
      <c r="F160" s="15"/>
    </row>
    <row r="161" spans="1:6" x14ac:dyDescent="0.25">
      <c r="A161" s="15"/>
      <c r="B161" s="15"/>
      <c r="C161" s="15"/>
      <c r="D161" s="15"/>
      <c r="E161" s="15"/>
      <c r="F161" s="15"/>
    </row>
    <row r="162" spans="1:6" x14ac:dyDescent="0.25">
      <c r="A162" s="15"/>
      <c r="B162" s="15"/>
      <c r="C162" s="15"/>
      <c r="D162" s="15"/>
      <c r="E162" s="15"/>
      <c r="F162" s="15"/>
    </row>
    <row r="163" spans="1:6" x14ac:dyDescent="0.25">
      <c r="A163" s="15"/>
      <c r="B163" s="15"/>
      <c r="C163" s="15"/>
      <c r="D163" s="15"/>
      <c r="E163" s="15"/>
      <c r="F163" s="15"/>
    </row>
    <row r="164" spans="1:6" x14ac:dyDescent="0.25">
      <c r="A164" s="15"/>
      <c r="B164" s="15"/>
      <c r="C164" s="15"/>
      <c r="D164" s="15"/>
      <c r="E164" s="15"/>
      <c r="F164" s="15"/>
    </row>
    <row r="165" spans="1:6" x14ac:dyDescent="0.25">
      <c r="A165" s="15"/>
      <c r="B165" s="15"/>
      <c r="C165" s="15"/>
      <c r="D165" s="15"/>
      <c r="E165" s="15"/>
      <c r="F165" s="15"/>
    </row>
    <row r="166" spans="1:6" x14ac:dyDescent="0.25">
      <c r="A166" s="15"/>
      <c r="B166" s="15"/>
      <c r="C166" s="15"/>
      <c r="D166" s="15"/>
      <c r="E166" s="15"/>
      <c r="F166" s="15"/>
    </row>
    <row r="167" spans="1:6" x14ac:dyDescent="0.25">
      <c r="A167" s="15"/>
      <c r="B167" s="15"/>
      <c r="C167" s="15"/>
      <c r="D167" s="15"/>
      <c r="E167" s="15"/>
      <c r="F167" s="15"/>
    </row>
    <row r="168" spans="1:6" x14ac:dyDescent="0.25">
      <c r="A168" s="15"/>
      <c r="B168" s="15"/>
      <c r="C168" s="15"/>
      <c r="D168" s="15"/>
      <c r="E168" s="15"/>
      <c r="F168" s="15"/>
    </row>
    <row r="169" spans="1:6" x14ac:dyDescent="0.25">
      <c r="A169" s="15"/>
      <c r="B169" s="15"/>
      <c r="C169" s="15"/>
      <c r="D169" s="15"/>
      <c r="E169" s="15"/>
      <c r="F169" s="15"/>
    </row>
    <row r="170" spans="1:6" x14ac:dyDescent="0.25">
      <c r="A170" s="15"/>
      <c r="B170" s="15"/>
      <c r="C170" s="15"/>
      <c r="D170" s="15"/>
      <c r="E170" s="15"/>
      <c r="F170" s="15"/>
    </row>
    <row r="171" spans="1:6" x14ac:dyDescent="0.25">
      <c r="A171" s="15"/>
      <c r="B171" s="15"/>
      <c r="C171" s="15"/>
      <c r="D171" s="15"/>
      <c r="E171" s="15"/>
      <c r="F171" s="15"/>
    </row>
    <row r="172" spans="1:6" x14ac:dyDescent="0.25">
      <c r="A172" s="15"/>
      <c r="B172" s="15"/>
      <c r="C172" s="15"/>
      <c r="D172" s="15"/>
      <c r="E172" s="15"/>
      <c r="F172" s="15"/>
    </row>
    <row r="173" spans="1:6" x14ac:dyDescent="0.25">
      <c r="A173" s="15"/>
      <c r="B173" s="15"/>
      <c r="C173" s="15"/>
      <c r="D173" s="15"/>
      <c r="E173" s="15"/>
      <c r="F173" s="15"/>
    </row>
    <row r="174" spans="1:6" x14ac:dyDescent="0.25">
      <c r="A174" s="15"/>
      <c r="B174" s="15"/>
      <c r="C174" s="15"/>
      <c r="D174" s="15"/>
      <c r="E174" s="15"/>
      <c r="F174" s="15"/>
    </row>
    <row r="175" spans="1:6" x14ac:dyDescent="0.25">
      <c r="A175" s="15"/>
      <c r="B175" s="15"/>
      <c r="C175" s="15"/>
      <c r="D175" s="15"/>
      <c r="E175" s="15"/>
      <c r="F175" s="15"/>
    </row>
    <row r="176" spans="1:6" x14ac:dyDescent="0.25">
      <c r="A176" s="15"/>
      <c r="B176" s="15"/>
      <c r="C176" s="15"/>
      <c r="D176" s="15"/>
      <c r="E176" s="15"/>
      <c r="F176" s="15"/>
    </row>
    <row r="177" spans="1:6" x14ac:dyDescent="0.25">
      <c r="A177" s="15"/>
      <c r="B177" s="15"/>
      <c r="C177" s="15"/>
      <c r="D177" s="15"/>
      <c r="E177" s="15"/>
      <c r="F177" s="15"/>
    </row>
    <row r="178" spans="1:6" x14ac:dyDescent="0.25">
      <c r="A178" s="15"/>
      <c r="B178" s="15"/>
      <c r="C178" s="15"/>
      <c r="D178" s="15"/>
      <c r="E178" s="15"/>
      <c r="F178" s="15"/>
    </row>
    <row r="179" spans="1:6" x14ac:dyDescent="0.25">
      <c r="A179" s="15"/>
      <c r="B179" s="15"/>
      <c r="C179" s="15"/>
      <c r="D179" s="15"/>
      <c r="E179" s="15"/>
      <c r="F179" s="15"/>
    </row>
    <row r="180" spans="1:6" x14ac:dyDescent="0.25">
      <c r="A180" s="15"/>
      <c r="B180" s="15"/>
      <c r="C180" s="15"/>
      <c r="D180" s="15"/>
      <c r="E180" s="15"/>
      <c r="F180" s="15"/>
    </row>
    <row r="181" spans="1:6" x14ac:dyDescent="0.25">
      <c r="A181" s="15"/>
      <c r="B181" s="15"/>
      <c r="C181" s="15"/>
      <c r="D181" s="15"/>
      <c r="E181" s="15"/>
      <c r="F181" s="15"/>
    </row>
    <row r="182" spans="1:6" x14ac:dyDescent="0.25">
      <c r="A182" s="15"/>
      <c r="B182" s="15"/>
      <c r="C182" s="15"/>
      <c r="D182" s="15"/>
      <c r="E182" s="15"/>
      <c r="F182" s="15"/>
    </row>
    <row r="183" spans="1:6" x14ac:dyDescent="0.25">
      <c r="A183" s="15"/>
      <c r="B183" s="15"/>
      <c r="C183" s="15"/>
      <c r="D183" s="15"/>
      <c r="E183" s="15"/>
      <c r="F183" s="15"/>
    </row>
    <row r="184" spans="1:6" x14ac:dyDescent="0.25">
      <c r="A184" s="15"/>
      <c r="B184" s="15"/>
      <c r="C184" s="15"/>
      <c r="D184" s="15"/>
      <c r="E184" s="15"/>
      <c r="F184" s="15"/>
    </row>
    <row r="185" spans="1:6" x14ac:dyDescent="0.25">
      <c r="A185" s="15"/>
      <c r="B185" s="15"/>
      <c r="C185" s="15"/>
      <c r="D185" s="15"/>
      <c r="E185" s="15"/>
      <c r="F185" s="15"/>
    </row>
    <row r="186" spans="1:6" x14ac:dyDescent="0.25">
      <c r="A186" s="15"/>
      <c r="B186" s="15"/>
      <c r="C186" s="15"/>
      <c r="D186" s="15"/>
      <c r="E186" s="15"/>
      <c r="F186" s="15"/>
    </row>
    <row r="187" spans="1:6" x14ac:dyDescent="0.25">
      <c r="A187" s="15"/>
      <c r="B187" s="15"/>
      <c r="C187" s="15"/>
      <c r="D187" s="15"/>
      <c r="E187" s="15"/>
      <c r="F187" s="15"/>
    </row>
    <row r="188" spans="1:6" x14ac:dyDescent="0.25">
      <c r="A188" s="15"/>
      <c r="B188" s="15"/>
      <c r="C188" s="15"/>
      <c r="D188" s="15"/>
      <c r="E188" s="15"/>
      <c r="F188" s="15"/>
    </row>
    <row r="189" spans="1:6" x14ac:dyDescent="0.25">
      <c r="A189" s="15"/>
      <c r="B189" s="15"/>
      <c r="C189" s="15"/>
      <c r="D189" s="15"/>
      <c r="E189" s="15"/>
      <c r="F189" s="15"/>
    </row>
    <row r="190" spans="1:6" x14ac:dyDescent="0.25">
      <c r="A190" s="15"/>
      <c r="B190" s="15"/>
      <c r="C190" s="15"/>
      <c r="D190" s="15"/>
      <c r="E190" s="15"/>
      <c r="F190" s="15"/>
    </row>
    <row r="191" spans="1:6" x14ac:dyDescent="0.25">
      <c r="A191" s="15"/>
      <c r="B191" s="15"/>
      <c r="C191" s="15"/>
      <c r="D191" s="15"/>
      <c r="E191" s="15"/>
      <c r="F191" s="15"/>
    </row>
    <row r="192" spans="1:6" x14ac:dyDescent="0.25">
      <c r="A192" s="15"/>
      <c r="B192" s="15"/>
      <c r="C192" s="15"/>
      <c r="D192" s="15"/>
      <c r="E192" s="15"/>
      <c r="F192" s="15"/>
    </row>
    <row r="193" spans="1:6" x14ac:dyDescent="0.25">
      <c r="A193" s="15"/>
      <c r="B193" s="15"/>
      <c r="C193" s="15"/>
      <c r="D193" s="15"/>
      <c r="E193" s="15"/>
      <c r="F193" s="15"/>
    </row>
    <row r="194" spans="1:6" x14ac:dyDescent="0.25">
      <c r="A194" s="15"/>
      <c r="B194" s="15"/>
      <c r="C194" s="15"/>
      <c r="D194" s="15"/>
      <c r="E194" s="15"/>
      <c r="F194" s="15"/>
    </row>
    <row r="195" spans="1:6" x14ac:dyDescent="0.25">
      <c r="A195" s="15"/>
      <c r="B195" s="15"/>
      <c r="C195" s="15"/>
      <c r="D195" s="15"/>
      <c r="E195" s="15"/>
      <c r="F195" s="15"/>
    </row>
    <row r="196" spans="1:6" x14ac:dyDescent="0.25">
      <c r="A196" s="15"/>
      <c r="B196" s="15"/>
      <c r="C196" s="15"/>
      <c r="D196" s="15"/>
      <c r="E196" s="15"/>
      <c r="F196" s="15"/>
    </row>
    <row r="197" spans="1:6" x14ac:dyDescent="0.25">
      <c r="A197" s="15"/>
      <c r="B197" s="15"/>
      <c r="C197" s="15"/>
      <c r="D197" s="15"/>
      <c r="E197" s="15"/>
      <c r="F197" s="15"/>
    </row>
    <row r="198" spans="1:6" x14ac:dyDescent="0.25">
      <c r="A198" s="15"/>
      <c r="B198" s="15"/>
      <c r="C198" s="15"/>
      <c r="D198" s="15"/>
      <c r="E198" s="15"/>
      <c r="F198" s="15"/>
    </row>
    <row r="199" spans="1:6" x14ac:dyDescent="0.25">
      <c r="A199" s="15"/>
      <c r="B199" s="15"/>
      <c r="C199" s="15"/>
      <c r="D199" s="15"/>
      <c r="E199" s="15"/>
      <c r="F199" s="15"/>
    </row>
    <row r="200" spans="1:6" x14ac:dyDescent="0.25">
      <c r="A200" s="15"/>
      <c r="B200" s="15"/>
      <c r="C200" s="15"/>
      <c r="D200" s="15"/>
      <c r="E200" s="15"/>
      <c r="F200" s="15"/>
    </row>
    <row r="201" spans="1:6" x14ac:dyDescent="0.25">
      <c r="A201" s="15"/>
      <c r="B201" s="15"/>
      <c r="C201" s="15"/>
      <c r="D201" s="15"/>
      <c r="E201" s="15"/>
      <c r="F201" s="15"/>
    </row>
    <row r="202" spans="1:6" x14ac:dyDescent="0.25">
      <c r="A202" s="15"/>
      <c r="B202" s="15"/>
      <c r="C202" s="15"/>
      <c r="D202" s="15"/>
      <c r="E202" s="15"/>
      <c r="F202" s="15"/>
    </row>
    <row r="203" spans="1:6" x14ac:dyDescent="0.25">
      <c r="A203" s="15"/>
      <c r="B203" s="15"/>
      <c r="C203" s="15"/>
      <c r="D203" s="15"/>
      <c r="E203" s="15"/>
      <c r="F203" s="15"/>
    </row>
    <row r="204" spans="1:6" x14ac:dyDescent="0.25">
      <c r="A204" s="15"/>
      <c r="B204" s="15"/>
      <c r="C204" s="15"/>
      <c r="D204" s="15"/>
      <c r="E204" s="15"/>
      <c r="F204" s="15"/>
    </row>
    <row r="205" spans="1:6" x14ac:dyDescent="0.25">
      <c r="A205" s="15"/>
      <c r="B205" s="15"/>
      <c r="C205" s="15"/>
      <c r="D205" s="15"/>
      <c r="E205" s="15"/>
      <c r="F205" s="15"/>
    </row>
    <row r="206" spans="1:6" x14ac:dyDescent="0.25">
      <c r="A206" s="15"/>
      <c r="B206" s="15"/>
      <c r="C206" s="15"/>
      <c r="D206" s="15"/>
      <c r="E206" s="15"/>
      <c r="F206" s="15"/>
    </row>
    <row r="207" spans="1:6" x14ac:dyDescent="0.25">
      <c r="A207" s="15"/>
      <c r="B207" s="15"/>
      <c r="C207" s="15"/>
      <c r="D207" s="15"/>
      <c r="E207" s="15"/>
      <c r="F207" s="15"/>
    </row>
    <row r="208" spans="1:6" x14ac:dyDescent="0.25">
      <c r="A208" s="15"/>
      <c r="B208" s="15"/>
      <c r="C208" s="15"/>
      <c r="D208" s="15"/>
      <c r="E208" s="15"/>
      <c r="F208" s="15"/>
    </row>
    <row r="209" spans="1:6" x14ac:dyDescent="0.25">
      <c r="A209" s="15"/>
      <c r="B209" s="15"/>
      <c r="C209" s="15"/>
      <c r="D209" s="15"/>
      <c r="E209" s="15"/>
      <c r="F209" s="15"/>
    </row>
    <row r="210" spans="1:6" x14ac:dyDescent="0.25">
      <c r="A210" s="15"/>
      <c r="B210" s="15"/>
      <c r="C210" s="15"/>
      <c r="D210" s="15"/>
      <c r="E210" s="15"/>
      <c r="F210" s="15"/>
    </row>
    <row r="211" spans="1:6" x14ac:dyDescent="0.25">
      <c r="A211" s="15"/>
      <c r="B211" s="15"/>
      <c r="C211" s="15"/>
      <c r="D211" s="15"/>
      <c r="E211" s="15"/>
      <c r="F211" s="15"/>
    </row>
    <row r="212" spans="1:6" x14ac:dyDescent="0.25">
      <c r="A212" s="15"/>
      <c r="B212" s="15"/>
      <c r="C212" s="15"/>
      <c r="D212" s="15"/>
      <c r="E212" s="15"/>
      <c r="F212" s="15"/>
    </row>
    <row r="213" spans="1:6" x14ac:dyDescent="0.25">
      <c r="A213" s="15"/>
      <c r="B213" s="15"/>
      <c r="C213" s="15"/>
      <c r="D213" s="15"/>
      <c r="E213" s="15"/>
      <c r="F213" s="15"/>
    </row>
    <row r="214" spans="1:6" x14ac:dyDescent="0.25">
      <c r="A214" s="15"/>
      <c r="B214" s="15"/>
      <c r="C214" s="15"/>
      <c r="D214" s="15"/>
      <c r="E214" s="15"/>
      <c r="F214" s="15"/>
    </row>
    <row r="215" spans="1:6" x14ac:dyDescent="0.25">
      <c r="A215" s="15"/>
      <c r="B215" s="15"/>
      <c r="C215" s="15"/>
      <c r="D215" s="15"/>
      <c r="E215" s="15"/>
      <c r="F215" s="15"/>
    </row>
    <row r="216" spans="1:6" x14ac:dyDescent="0.25">
      <c r="A216" s="15"/>
      <c r="B216" s="15"/>
      <c r="C216" s="15"/>
      <c r="D216" s="15"/>
      <c r="E216" s="15"/>
      <c r="F216" s="15"/>
    </row>
    <row r="217" spans="1:6" x14ac:dyDescent="0.25">
      <c r="A217" s="15"/>
      <c r="B217" s="15"/>
      <c r="C217" s="15"/>
      <c r="D217" s="15"/>
      <c r="E217" s="15"/>
      <c r="F217" s="15"/>
    </row>
    <row r="218" spans="1:6" x14ac:dyDescent="0.25">
      <c r="A218" s="15"/>
      <c r="B218" s="15"/>
      <c r="C218" s="15"/>
      <c r="D218" s="15"/>
      <c r="E218" s="15"/>
      <c r="F218" s="15"/>
    </row>
    <row r="219" spans="1:6" x14ac:dyDescent="0.25">
      <c r="A219" s="15"/>
      <c r="B219" s="15"/>
      <c r="C219" s="15"/>
      <c r="D219" s="15"/>
      <c r="E219" s="15"/>
      <c r="F219" s="15"/>
    </row>
    <row r="220" spans="1:6" x14ac:dyDescent="0.25">
      <c r="A220" s="15"/>
      <c r="B220" s="15"/>
      <c r="C220" s="15"/>
      <c r="D220" s="15"/>
      <c r="E220" s="15"/>
      <c r="F220" s="15"/>
    </row>
    <row r="221" spans="1:6" x14ac:dyDescent="0.25">
      <c r="A221" s="15"/>
      <c r="B221" s="15"/>
      <c r="C221" s="15"/>
      <c r="D221" s="15"/>
      <c r="E221" s="15"/>
      <c r="F221" s="15"/>
    </row>
    <row r="222" spans="1:6" x14ac:dyDescent="0.25">
      <c r="A222" s="15"/>
      <c r="B222" s="15"/>
      <c r="C222" s="15"/>
      <c r="D222" s="15"/>
      <c r="E222" s="15"/>
      <c r="F222" s="15"/>
    </row>
    <row r="223" spans="1:6" x14ac:dyDescent="0.25">
      <c r="A223" s="15"/>
      <c r="B223" s="15"/>
      <c r="C223" s="15"/>
      <c r="D223" s="15"/>
      <c r="E223" s="15"/>
      <c r="F223" s="15"/>
    </row>
    <row r="224" spans="1:6" x14ac:dyDescent="0.25">
      <c r="A224" s="15"/>
      <c r="B224" s="15"/>
      <c r="C224" s="15"/>
      <c r="D224" s="15"/>
      <c r="E224" s="15"/>
      <c r="F224" s="15"/>
    </row>
    <row r="225" spans="1:6" x14ac:dyDescent="0.25">
      <c r="A225" s="15"/>
      <c r="B225" s="15"/>
      <c r="C225" s="15"/>
      <c r="D225" s="15"/>
      <c r="E225" s="15"/>
      <c r="F225" s="15"/>
    </row>
    <row r="226" spans="1:6" x14ac:dyDescent="0.25">
      <c r="A226" s="15"/>
      <c r="B226" s="15"/>
      <c r="C226" s="15"/>
      <c r="D226" s="15"/>
      <c r="E226" s="15"/>
      <c r="F226" s="15"/>
    </row>
    <row r="227" spans="1:6" x14ac:dyDescent="0.25">
      <c r="A227" s="15"/>
      <c r="B227" s="15"/>
      <c r="C227" s="15"/>
      <c r="D227" s="15"/>
      <c r="E227" s="15"/>
      <c r="F227" s="15"/>
    </row>
    <row r="228" spans="1:6" x14ac:dyDescent="0.25">
      <c r="A228" s="15"/>
      <c r="B228" s="15"/>
      <c r="C228" s="15"/>
      <c r="D228" s="15"/>
      <c r="E228" s="15"/>
      <c r="F228" s="15"/>
    </row>
    <row r="229" spans="1:6" x14ac:dyDescent="0.25">
      <c r="A229" s="15"/>
      <c r="B229" s="15"/>
      <c r="C229" s="15"/>
      <c r="D229" s="15"/>
      <c r="E229" s="15"/>
      <c r="F229" s="15"/>
    </row>
    <row r="230" spans="1:6" x14ac:dyDescent="0.25">
      <c r="A230" s="15"/>
      <c r="B230" s="15"/>
      <c r="C230" s="15"/>
      <c r="D230" s="15"/>
      <c r="E230" s="15"/>
      <c r="F230" s="15"/>
    </row>
    <row r="231" spans="1:6" x14ac:dyDescent="0.25">
      <c r="A231" s="15"/>
      <c r="B231" s="15"/>
      <c r="C231" s="15"/>
      <c r="D231" s="15"/>
      <c r="E231" s="15"/>
      <c r="F231" s="15"/>
    </row>
    <row r="232" spans="1:6" x14ac:dyDescent="0.25">
      <c r="A232" s="15"/>
      <c r="B232" s="15"/>
      <c r="C232" s="15"/>
      <c r="D232" s="15"/>
      <c r="E232" s="15"/>
      <c r="F232" s="15"/>
    </row>
    <row r="233" spans="1:6" x14ac:dyDescent="0.25">
      <c r="A233" s="15"/>
      <c r="B233" s="15"/>
      <c r="C233" s="15"/>
      <c r="D233" s="15"/>
      <c r="E233" s="15"/>
      <c r="F233" s="15"/>
    </row>
    <row r="234" spans="1:6" x14ac:dyDescent="0.25">
      <c r="A234" s="15"/>
      <c r="B234" s="15"/>
      <c r="C234" s="15"/>
      <c r="D234" s="15"/>
      <c r="E234" s="15"/>
      <c r="F234" s="15"/>
    </row>
    <row r="235" spans="1:6" x14ac:dyDescent="0.25">
      <c r="A235" s="15"/>
      <c r="B235" s="15"/>
      <c r="C235" s="15"/>
      <c r="D235" s="15"/>
      <c r="E235" s="15"/>
      <c r="F235" s="15"/>
    </row>
    <row r="236" spans="1:6" x14ac:dyDescent="0.25">
      <c r="A236" s="15"/>
      <c r="B236" s="15"/>
      <c r="C236" s="15"/>
      <c r="D236" s="15"/>
      <c r="E236" s="15"/>
      <c r="F236" s="15"/>
    </row>
    <row r="237" spans="1:6" x14ac:dyDescent="0.25">
      <c r="A237" s="15"/>
      <c r="B237" s="15"/>
      <c r="C237" s="15"/>
      <c r="D237" s="15"/>
      <c r="E237" s="15"/>
      <c r="F237" s="15"/>
    </row>
    <row r="238" spans="1:6" x14ac:dyDescent="0.25">
      <c r="A238" s="15"/>
      <c r="B238" s="15"/>
      <c r="C238" s="15"/>
      <c r="D238" s="15"/>
      <c r="E238" s="15"/>
      <c r="F238" s="15"/>
    </row>
    <row r="239" spans="1:6" x14ac:dyDescent="0.25">
      <c r="A239" s="15"/>
      <c r="B239" s="15"/>
      <c r="C239" s="15"/>
      <c r="D239" s="15"/>
      <c r="E239" s="15"/>
      <c r="F239" s="15"/>
    </row>
    <row r="240" spans="1:6" x14ac:dyDescent="0.25">
      <c r="A240" s="15"/>
      <c r="B240" s="15"/>
      <c r="C240" s="15"/>
      <c r="D240" s="15"/>
      <c r="E240" s="15"/>
      <c r="F240" s="15"/>
    </row>
    <row r="241" spans="1:6" x14ac:dyDescent="0.25">
      <c r="A241" s="15"/>
      <c r="B241" s="15"/>
      <c r="C241" s="15"/>
      <c r="D241" s="15"/>
      <c r="E241" s="15"/>
      <c r="F241" s="15"/>
    </row>
    <row r="242" spans="1:6" x14ac:dyDescent="0.25">
      <c r="A242" s="15"/>
      <c r="B242" s="15"/>
      <c r="C242" s="15"/>
      <c r="D242" s="15"/>
      <c r="E242" s="15"/>
      <c r="F242" s="15"/>
    </row>
    <row r="243" spans="1:6" x14ac:dyDescent="0.25">
      <c r="A243" s="15"/>
      <c r="B243" s="15"/>
      <c r="C243" s="15"/>
      <c r="D243" s="15"/>
      <c r="E243" s="15"/>
      <c r="F243" s="15"/>
    </row>
    <row r="244" spans="1:6" x14ac:dyDescent="0.25">
      <c r="A244" s="15"/>
      <c r="B244" s="15"/>
      <c r="C244" s="15"/>
      <c r="D244" s="15"/>
      <c r="E244" s="15"/>
      <c r="F244" s="15"/>
    </row>
    <row r="245" spans="1:6" x14ac:dyDescent="0.25">
      <c r="A245" s="15"/>
      <c r="B245" s="15"/>
      <c r="C245" s="15"/>
      <c r="D245" s="15"/>
      <c r="E245" s="15"/>
      <c r="F245" s="15"/>
    </row>
    <row r="246" spans="1:6" x14ac:dyDescent="0.25">
      <c r="A246" s="15"/>
      <c r="B246" s="15"/>
      <c r="C246" s="15"/>
      <c r="D246" s="15"/>
      <c r="E246" s="15"/>
      <c r="F246" s="15"/>
    </row>
    <row r="247" spans="1:6" x14ac:dyDescent="0.25">
      <c r="A247" s="15"/>
      <c r="B247" s="15"/>
      <c r="C247" s="15"/>
      <c r="D247" s="15"/>
      <c r="E247" s="15"/>
      <c r="F247" s="15"/>
    </row>
    <row r="248" spans="1:6" x14ac:dyDescent="0.25">
      <c r="A248" s="15"/>
      <c r="B248" s="15"/>
      <c r="C248" s="15"/>
      <c r="D248" s="15"/>
      <c r="E248" s="15"/>
      <c r="F248" s="15"/>
    </row>
    <row r="249" spans="1:6" x14ac:dyDescent="0.25">
      <c r="A249" s="15"/>
      <c r="B249" s="15"/>
      <c r="C249" s="15"/>
      <c r="D249" s="15"/>
      <c r="E249" s="15"/>
      <c r="F249" s="15"/>
    </row>
    <row r="250" spans="1:6" x14ac:dyDescent="0.25">
      <c r="A250" s="15"/>
      <c r="B250" s="15"/>
      <c r="C250" s="15"/>
      <c r="D250" s="15"/>
      <c r="E250" s="15"/>
      <c r="F250" s="15"/>
    </row>
    <row r="251" spans="1:6" x14ac:dyDescent="0.25">
      <c r="A251" s="15"/>
      <c r="B251" s="15"/>
      <c r="C251" s="15"/>
      <c r="D251" s="15"/>
      <c r="E251" s="15"/>
      <c r="F251" s="15"/>
    </row>
    <row r="252" spans="1:6" x14ac:dyDescent="0.25">
      <c r="A252" s="15"/>
      <c r="B252" s="15"/>
      <c r="C252" s="15"/>
      <c r="D252" s="15"/>
      <c r="E252" s="15"/>
      <c r="F252" s="15"/>
    </row>
    <row r="253" spans="1:6" x14ac:dyDescent="0.25">
      <c r="A253" s="15"/>
      <c r="B253" s="15"/>
      <c r="C253" s="15"/>
      <c r="D253" s="15"/>
      <c r="E253" s="15"/>
      <c r="F253" s="15"/>
    </row>
    <row r="254" spans="1:6" x14ac:dyDescent="0.25">
      <c r="A254" s="15"/>
      <c r="B254" s="15"/>
      <c r="C254" s="15"/>
      <c r="D254" s="15"/>
      <c r="E254" s="15"/>
      <c r="F254" s="15"/>
    </row>
    <row r="255" spans="1:6" x14ac:dyDescent="0.25">
      <c r="A255" s="15"/>
      <c r="B255" s="15"/>
      <c r="C255" s="15"/>
      <c r="D255" s="15"/>
      <c r="E255" s="15"/>
      <c r="F255" s="15"/>
    </row>
    <row r="256" spans="1:6" x14ac:dyDescent="0.25">
      <c r="A256" s="15"/>
      <c r="B256" s="15"/>
      <c r="C256" s="15"/>
      <c r="D256" s="15"/>
      <c r="E256" s="15"/>
      <c r="F256" s="15"/>
    </row>
    <row r="257" spans="1:6" x14ac:dyDescent="0.25">
      <c r="A257" s="15"/>
      <c r="B257" s="15"/>
      <c r="C257" s="15"/>
      <c r="D257" s="15"/>
      <c r="E257" s="15"/>
      <c r="F257" s="15"/>
    </row>
    <row r="258" spans="1:6" x14ac:dyDescent="0.25">
      <c r="A258" s="15"/>
      <c r="B258" s="15"/>
      <c r="C258" s="15"/>
      <c r="D258" s="15"/>
      <c r="E258" s="15"/>
      <c r="F25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metric</vt:lpstr>
      <vt:lpstr>SG_baseline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Aasprong</dc:creator>
  <cp:lastModifiedBy>Nikolai Aasprong</cp:lastModifiedBy>
  <dcterms:created xsi:type="dcterms:W3CDTF">2026-03-11T15:10:10Z</dcterms:created>
  <dcterms:modified xsi:type="dcterms:W3CDTF">2026-03-12T10:06:38Z</dcterms:modified>
</cp:coreProperties>
</file>